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05da1f2b064b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ff92b24ad89842c2"/>
    <x:sheet xmlns:r="http://schemas.openxmlformats.org/officeDocument/2006/relationships" name="데이터" sheetId="2" r:id="R58dd78874d79423c"/>
    <x:sheet xmlns:r="http://schemas.openxmlformats.org/officeDocument/2006/relationships" name="차트" sheetId="3" r:id="Rf860d649ae9642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sz val="11"/>
      <x:name val="Malgun Gothic"/>
    </x:font>
    <x:font>
      <x:b/>
      <x:sz val="11"/>
      <x:color rgb="FFFFFFFF"/>
      <x:name val="Malgun Gothic"/>
    </x:font>
    <x:font>
      <x:b/>
      <x:sz val="18"/>
      <x:name val="Malgun Gothic"/>
    </x:font>
    <x:font>
      <x:b/>
      <x:sz val="11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1620b4e2b74fde" /><Relationship Type="http://schemas.openxmlformats.org/officeDocument/2006/relationships/theme" Target="/xl/theme/theme1.xml" Id="Rea5789537f324424" /><Relationship Type="http://schemas.openxmlformats.org/officeDocument/2006/relationships/sharedStrings" Target="/xl/sharedStrings.xml" Id="R9024e017d70c44ad" /><Relationship Type="http://schemas.openxmlformats.org/officeDocument/2006/relationships/worksheet" Target="/xl/worksheets/sheet1.xml" Id="Rff92b24ad89842c2" /><Relationship Type="http://schemas.openxmlformats.org/officeDocument/2006/relationships/worksheet" Target="/xl/worksheets/sheet2.xml" Id="R58dd78874d79423c" /><Relationship Type="http://schemas.openxmlformats.org/officeDocument/2006/relationships/worksheet" Target="/xl/worksheets/sheet3.xml" Id="Rf860d649ae96427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fa323b260ed4281" /><Relationship Type="http://schemas.openxmlformats.org/officeDocument/2006/relationships/chart" Target="/xl/drawings/charts/chart2.xml" Id="R00e68e1f6f47401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2026년 월별 매출 추이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매출(원)</c:v>
          </c:tx>
          <c:marker>
            <c:symbol val="none"/>
          </c:marker>
          <c:cat>
            <c:strRef>
              <c:f>'차트'!$A$5:$A$16</c:f>
              <c:strCache>
                <c:ptCount val="0"/>
              </c:strCache>
            </c:strRef>
          </c:cat>
          <c:val>
            <c:numRef>
              <c:f>'차트'!$B$5:$B$16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월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매출(원)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2026년 카테고리별 매출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매출(원)</c:v>
          </c:tx>
          <c:cat>
            <c:strRef>
              <c:f>'차트'!$A$22:$A$24</c:f>
              <c:strCache>
                <c:ptCount val="0"/>
              </c:strCache>
            </c:strRef>
          </c:cat>
          <c:val>
            <c:numRef>
              <c:f>'차트'!$B$22:$B$24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카테고리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매출(원)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a323b260ed4281"/>
        </a:graphicData>
      </a:graphic>
    </xdr:graphicFrame>
    <xdr:clientData/>
  </xdr:twoCellAnchor>
  <xdr:twoCellAnchor>
    <xdr:from>
      <xdr:col>3</xdr:col>
      <xdr:colOff>0</xdr:colOff>
      <xdr:row>20</xdr:row>
      <xdr:rowOff>0</xdr:rowOff>
    </xdr:from>
    <xdr:to>
      <xdr:col>12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e68e1f6f47401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lesData" displayName="SalesData" ref="A1:G49" headerRowCount="1" totalsRowCount="0" totalsRowShown="0">
  <x:autoFilter ref="A1:G49"/>
  <x:tableColumns count="7">
    <x:tableColumn id="1" name="order_id"/>
    <x:tableColumn id="2" name="month"/>
    <x:tableColumn id="3" name="region"/>
    <x:tableColumn id="4" name="category"/>
    <x:tableColumn id="5" name="channel"/>
    <x:tableColumn id="6" name="sales"/>
    <x:tableColumn id="7" name="quant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4eb4a76a8347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ddae48ce15564e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4" customHeight="1">
      <x:c r="A1" s="5" t="str">
        <x:v>2026년 매출 보고서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1" t="str">
        <x:v>학습용 가상 데이터 · 2026년 1~12월 · 단위: 원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24" customHeight="1">
      <x:c r="A4" s="4" t="str">
        <x:v>월</x:v>
      </x:c>
      <x:c r="B4" s="4" t="str">
        <x:v>매출(원)</x:v>
      </x:c>
      <x:c r="C4" s="1"/>
      <x:c r="D4" s="4" t="str">
        <x:v>카테고리</x:v>
      </x:c>
      <x:c r="E4" s="4" t="str">
        <x:v>매출(원)</x:v>
      </x:c>
      <x:c r="F4" s="1"/>
      <x:c r="G4" s="1"/>
      <x:c r="H4" s="1"/>
      <x:c r="I4" s="1"/>
      <x:c r="J4" s="1"/>
    </x:row>
    <x:row r="5" ht="24" customHeight="1">
      <x:c r="A5" s="1" t="str">
        <x:v>2026-01</x:v>
      </x:c>
      <x:c r="B5" s="2" t="n">
        <x:f>SUMIF('데이터'!$B$2:$B$49,A5,'데이터'!$F$2:$F$49)</x:f>
        <x:v>59000</x:v>
      </x:c>
      <x:c r="C5" s="1"/>
      <x:c r="D5" s="1" t="str">
        <x:v>도서</x:v>
      </x:c>
      <x:c r="E5" s="2" t="n">
        <x:f>SUMIF('데이터'!$D$2:$D$49,D5,'데이터'!$F$2:$F$49)</x:f>
        <x:v>486000</x:v>
      </x:c>
      <x:c r="F5" s="1"/>
      <x:c r="G5" s="1"/>
      <x:c r="H5" s="1"/>
      <x:c r="I5" s="1"/>
      <x:c r="J5" s="1"/>
    </x:row>
    <x:row r="6" ht="24" customHeight="1">
      <x:c r="A6" s="1" t="str">
        <x:v>2026-02</x:v>
      </x:c>
      <x:c r="B6" s="2" t="n">
        <x:f>SUMIF('데이터'!$B$2:$B$49,A6,'데이터'!$F$2:$F$49)</x:f>
        <x:v>63000</x:v>
      </x:c>
      <x:c r="C6" s="1"/>
      <x:c r="D6" s="1" t="str">
        <x:v>문구</x:v>
      </x:c>
      <x:c r="E6" s="2" t="n">
        <x:f>SUMIF('데이터'!$D$2:$D$49,D6,'데이터'!$F$2:$F$49)</x:f>
        <x:v>228000</x:v>
      </x:c>
      <x:c r="F6" s="1"/>
      <x:c r="G6" s="1"/>
      <x:c r="H6" s="1"/>
      <x:c r="I6" s="1"/>
      <x:c r="J6" s="1"/>
    </x:row>
    <x:row r="7" ht="24" customHeight="1">
      <x:c r="A7" s="1" t="str">
        <x:v>2026-03</x:v>
      </x:c>
      <x:c r="B7" s="2" t="n">
        <x:f>SUMIF('데이터'!$B$2:$B$49,A7,'데이터'!$F$2:$F$49)</x:f>
        <x:v>67000</x:v>
      </x:c>
      <x:c r="C7" s="1"/>
      <x:c r="D7" s="1" t="str">
        <x:v>음료</x:v>
      </x:c>
      <x:c r="E7" s="2" t="n">
        <x:f>SUMIF('데이터'!$D$2:$D$49,D7,'데이터'!$F$2:$F$49)</x:f>
        <x:v>258000</x:v>
      </x:c>
      <x:c r="F7" s="1"/>
      <x:c r="G7" s="1"/>
      <x:c r="H7" s="1"/>
      <x:c r="I7" s="1"/>
      <x:c r="J7" s="1"/>
    </x:row>
    <x:row r="8" ht="24" customHeight="1">
      <x:c r="A8" s="1" t="str">
        <x:v>2026-04</x:v>
      </x:c>
      <x:c r="B8" s="2" t="n">
        <x:f>SUMIF('데이터'!$B$2:$B$49,A8,'데이터'!$F$2:$F$49)</x:f>
        <x:v>71000</x:v>
      </x:c>
      <x:c r="C8" s="1"/>
      <x:c r="D8" s="1"/>
      <x:c r="E8" s="2"/>
      <x:c r="F8" s="1"/>
      <x:c r="G8" s="1"/>
      <x:c r="H8" s="1"/>
      <x:c r="I8" s="1"/>
      <x:c r="J8" s="1"/>
    </x:row>
    <x:row r="9" ht="24" customHeight="1">
      <x:c r="A9" s="1" t="str">
        <x:v>2026-05</x:v>
      </x:c>
      <x:c r="B9" s="2" t="n">
        <x:f>SUMIF('데이터'!$B$2:$B$49,A9,'데이터'!$F$2:$F$49)</x:f>
        <x:v>75000</x:v>
      </x:c>
      <x:c r="C9" s="1"/>
      <x:c r="D9" s="1" t="str">
        <x:v>전체 행 수</x:v>
      </x:c>
      <x:c r="E9" s="2" t="n">
        <x:v>48</x:v>
      </x:c>
      <x:c r="F9" s="1"/>
      <x:c r="G9" s="1"/>
      <x:c r="H9" s="1"/>
      <x:c r="I9" s="1"/>
      <x:c r="J9" s="1"/>
    </x:row>
    <x:row r="10" ht="24" customHeight="1">
      <x:c r="A10" s="1" t="str">
        <x:v>2026-06</x:v>
      </x:c>
      <x:c r="B10" s="2" t="n">
        <x:f>SUMIF('데이터'!$B$2:$B$49,A10,'데이터'!$F$2:$F$49)</x:f>
        <x:v>79000</x:v>
      </x:c>
      <x:c r="C10" s="1"/>
      <x:c r="D10" s="1" t="str">
        <x:v>판매 수량(개)</x:v>
      </x:c>
      <x:c r="E10" s="2" t="n">
        <x:f>SUM('데이터'!G2:G49)</x:f>
        <x:v>864</x:v>
      </x:c>
      <x:c r="F10" s="1"/>
      <x:c r="G10" s="1"/>
      <x:c r="H10" s="1"/>
      <x:c r="I10" s="1"/>
      <x:c r="J10" s="1"/>
    </x:row>
    <x:row r="11" ht="24" customHeight="1">
      <x:c r="A11" s="1" t="str">
        <x:v>2026-07</x:v>
      </x:c>
      <x:c r="B11" s="2" t="n">
        <x:f>SUMIF('데이터'!$B$2:$B$49,A11,'데이터'!$F$2:$F$49)</x:f>
        <x:v>83000</x:v>
      </x:c>
      <x:c r="C11" s="1"/>
      <x:c r="D11" s="1"/>
      <x:c r="E11" s="1"/>
      <x:c r="F11" s="1"/>
      <x:c r="G11" s="1"/>
      <x:c r="H11" s="1"/>
      <x:c r="I11" s="1"/>
      <x:c r="J11" s="1"/>
    </x:row>
    <x:row r="12" ht="24" customHeight="1">
      <x:c r="A12" s="1" t="str">
        <x:v>2026-08</x:v>
      </x:c>
      <x:c r="B12" s="2" t="n">
        <x:f>SUMIF('데이터'!$B$2:$B$49,A12,'데이터'!$F$2:$F$49)</x:f>
        <x:v>87000</x:v>
      </x:c>
      <x:c r="C12" s="1"/>
      <x:c r="D12" s="1"/>
      <x:c r="E12" s="1"/>
      <x:c r="F12" s="1"/>
      <x:c r="G12" s="1"/>
      <x:c r="H12" s="1"/>
      <x:c r="I12" s="1"/>
      <x:c r="J12" s="1"/>
    </x:row>
    <x:row r="13" ht="24" customHeight="1">
      <x:c r="A13" s="1" t="str">
        <x:v>2026-09</x:v>
      </x:c>
      <x:c r="B13" s="2" t="n">
        <x:f>SUMIF('데이터'!$B$2:$B$49,A13,'데이터'!$F$2:$F$49)</x:f>
        <x:v>91000</x:v>
      </x:c>
      <x:c r="C13" s="1"/>
      <x:c r="D13" s="1"/>
      <x:c r="E13" s="1"/>
      <x:c r="F13" s="1"/>
      <x:c r="G13" s="1"/>
      <x:c r="H13" s="1"/>
      <x:c r="I13" s="1"/>
      <x:c r="J13" s="1"/>
    </x:row>
    <x:row r="14" ht="24" customHeight="1">
      <x:c r="A14" s="1" t="str">
        <x:v>2026-10</x:v>
      </x:c>
      <x:c r="B14" s="2" t="n">
        <x:f>SUMIF('데이터'!$B$2:$B$49,A14,'데이터'!$F$2:$F$49)</x:f>
        <x:v>95000</x:v>
      </x:c>
      <x:c r="C14" s="1"/>
      <x:c r="D14" s="1"/>
      <x:c r="E14" s="1"/>
      <x:c r="F14" s="1"/>
      <x:c r="G14" s="1"/>
      <x:c r="H14" s="1"/>
      <x:c r="I14" s="1"/>
      <x:c r="J14" s="1"/>
    </x:row>
    <x:row r="15" ht="24" customHeight="1">
      <x:c r="A15" s="1" t="str">
        <x:v>2026-11</x:v>
      </x:c>
      <x:c r="B15" s="2" t="n">
        <x:f>SUMIF('데이터'!$B$2:$B$49,A15,'데이터'!$F$2:$F$49)</x:f>
        <x:v>99000</x:v>
      </x:c>
      <x:c r="C15" s="1"/>
      <x:c r="D15" s="1"/>
      <x:c r="E15" s="1"/>
      <x:c r="F15" s="1"/>
      <x:c r="G15" s="1"/>
      <x:c r="H15" s="1"/>
      <x:c r="I15" s="1"/>
      <x:c r="J15" s="1"/>
    </x:row>
    <x:row r="16" ht="24" customHeight="1">
      <x:c r="A16" s="1" t="str">
        <x:v>2026-12</x:v>
      </x:c>
      <x:c r="B16" s="2" t="n">
        <x:f>SUMIF('데이터'!$B$2:$B$49,A16,'데이터'!$F$2:$F$49)</x:f>
        <x:v>103000</x:v>
      </x:c>
      <x:c r="C16" s="1"/>
      <x:c r="D16" s="1"/>
      <x:c r="E16" s="1"/>
      <x:c r="F16" s="1"/>
      <x:c r="G16" s="1"/>
      <x:c r="H16" s="1"/>
      <x:c r="I16" s="1"/>
      <x:c r="J16" s="1"/>
    </x:row>
    <x:row r="17" ht="24" customHeight="1">
      <x:c r="A17" s="6" t="str">
        <x:v>연간 합계</x:v>
      </x:c>
      <x:c r="B17" s="7" t="n">
        <x:f>SUM(B5:B16)</x:f>
        <x:v>972000</x:v>
      </x:c>
      <x:c r="C17" s="1"/>
      <x:c r="D17" s="1"/>
      <x:c r="E17" s="1"/>
      <x:c r="F17" s="1"/>
      <x:c r="G17" s="1"/>
      <x:c r="H17" s="1"/>
      <x:c r="I17" s="1"/>
      <x:c r="J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 ht="24" customHeight="1">
      <x:c r="A20" s="1" t="str">
        <x:v>원본: sales_2026.csv. 한 행은 거래 1건입니다.</x:v>
      </x:c>
      <x:c r="B20" s="1"/>
      <x:c r="C20" s="1"/>
      <x:c r="D20" s="1"/>
      <x:c r="E20" s="1"/>
      <x:c r="F20" s="1"/>
      <x:c r="G20" s="1"/>
      <x:c r="H20" s="1"/>
      <x:c r="I20" s="1"/>
      <x:c r="J20" s="1"/>
    </x:row>
    <x:row r="21" ht="24" customHeight="1">
      <x:c r="A21" s="1" t="str">
        <x:v>빈 값·완전히 같은 중복 행은 없습니다. 원본 48행을 모두 포함합니다.</x:v>
      </x:c>
      <x:c r="B21" s="1"/>
      <x:c r="C21" s="1"/>
      <x:c r="D21" s="1"/>
      <x:c r="E21" s="1"/>
      <x:c r="F21" s="1"/>
      <x:c r="G21" s="1"/>
      <x:c r="H21" s="1"/>
      <x:c r="I21" s="1"/>
      <x:c r="J21" s="1"/>
    </x:row>
    <x:row r="22" ht="24" customHeight="1">
      <x:c r="A22" s="1" t="str">
        <x:v>임의 보정·제외는 하지 않았습니다. 원본 데이터 시트를 유지했습니다.</x:v>
      </x:c>
      <x:c r="B22" s="1"/>
      <x:c r="C22" s="1"/>
      <x:c r="D22" s="1"/>
      <x:c r="E22" s="1"/>
      <x:c r="F22" s="1"/>
      <x:c r="G22" s="1"/>
      <x:c r="H22" s="1"/>
      <x:c r="I22" s="1"/>
      <x:c r="J22" s="1"/>
    </x:row>
    <x:row r="23" ht="24" customHeight="1">
      <x:c r="A23" s="1" t="str">
        <x:v>전년·목표 자료가 없어 전년 대비나 목표 달성률은 계산하지 않습니다.</x:v>
      </x:c>
      <x:c r="B23" s="1"/>
      <x:c r="C23" s="1"/>
      <x:c r="D23" s="1"/>
      <x:c r="E23" s="1"/>
      <x:c r="F23" s="1"/>
      <x:c r="G23" s="1"/>
      <x:c r="H23" s="1"/>
      <x:c r="I23" s="1"/>
      <x:c r="J23" s="1"/>
    </x:row>
    <x:row r="24" ht="24" customHeight="1">
      <x:c r="A24" s="1" t="str">
        <x:v>행을 추가하면 표와 요약 수식의 참조 범위도 확장해야 합니다.</x:v>
      </x:c>
      <x:c r="B24" s="1"/>
      <x:c r="C24" s="1"/>
      <x:c r="D24" s="1"/>
      <x:c r="E24" s="1"/>
      <x:c r="F24" s="1"/>
      <x:c r="G24" s="1"/>
      <x:c r="H24" s="1"/>
      <x:c r="I24" s="1"/>
      <x:c r="J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r="46" ht="24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 ht="24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</x:row>
    <x:row r="48" ht="24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 ht="24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 ht="24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  <x:row r="51" ht="24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</x:row>
    <x:row r="52" ht="24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</x:row>
    <x:row r="53" ht="24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 ht="24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 ht="24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4" customHeight="1">
      <x:c r="A1" s="4" t="str">
        <x:v>order_id</x:v>
      </x:c>
      <x:c r="B1" s="4" t="str">
        <x:v>month</x:v>
      </x:c>
      <x:c r="C1" s="4" t="str">
        <x:v>region</x:v>
      </x:c>
      <x:c r="D1" s="4" t="str">
        <x:v>category</x:v>
      </x:c>
      <x:c r="E1" s="4" t="str">
        <x:v>channel</x:v>
      </x:c>
      <x:c r="F1" s="4" t="str">
        <x:v>sales</x:v>
      </x:c>
      <x:c r="G1" s="4" t="str">
        <x:v>quantity</x:v>
      </x:c>
      <x:c r="H1" s="1"/>
      <x:c r="I1" s="1"/>
      <x:c r="J1" s="1"/>
    </x:row>
    <x:row r="2" ht="24" customHeight="1">
      <x:c r="A2" s="1" t="str">
        <x:v>S0001</x:v>
      </x:c>
      <x:c r="B2" s="1" t="str">
        <x:v>2026-01</x:v>
      </x:c>
      <x:c r="C2" s="1" t="str">
        <x:v>서울</x:v>
      </x:c>
      <x:c r="D2" s="1" t="str">
        <x:v>도서</x:v>
      </x:c>
      <x:c r="E2" s="1" t="str">
        <x:v>매장</x:v>
      </x:c>
      <x:c r="F2" s="2" t="n">
        <x:v>11000</x:v>
      </x:c>
      <x:c r="G2" s="2" t="n">
        <x:v>11</x:v>
      </x:c>
      <x:c r="H2" s="1"/>
      <x:c r="I2" s="1"/>
      <x:c r="J2" s="1"/>
    </x:row>
    <x:row r="3" ht="24" customHeight="1">
      <x:c r="A3" s="1" t="str">
        <x:v>S0002</x:v>
      </x:c>
      <x:c r="B3" s="1" t="str">
        <x:v>2026-01</x:v>
      </x:c>
      <x:c r="C3" s="1" t="str">
        <x:v>부산</x:v>
      </x:c>
      <x:c r="D3" s="1" t="str">
        <x:v>문구</x:v>
      </x:c>
      <x:c r="E3" s="1" t="str">
        <x:v>온라인</x:v>
      </x:c>
      <x:c r="F3" s="2" t="n">
        <x:v>13500</x:v>
      </x:c>
      <x:c r="G3" s="2" t="n">
        <x:v>12</x:v>
      </x:c>
      <x:c r="H3" s="1"/>
      <x:c r="I3" s="1"/>
      <x:c r="J3" s="1"/>
    </x:row>
    <x:row r="4" ht="24" customHeight="1">
      <x:c r="A4" s="1" t="str">
        <x:v>S0003</x:v>
      </x:c>
      <x:c r="B4" s="1" t="str">
        <x:v>2026-01</x:v>
      </x:c>
      <x:c r="C4" s="1" t="str">
        <x:v>대전</x:v>
      </x:c>
      <x:c r="D4" s="1" t="str">
        <x:v>음료</x:v>
      </x:c>
      <x:c r="E4" s="1" t="str">
        <x:v>매장</x:v>
      </x:c>
      <x:c r="F4" s="2" t="n">
        <x:v>16000</x:v>
      </x:c>
      <x:c r="G4" s="2" t="n">
        <x:v>13</x:v>
      </x:c>
      <x:c r="H4" s="1"/>
      <x:c r="I4" s="1"/>
      <x:c r="J4" s="1"/>
    </x:row>
    <x:row r="5" ht="24" customHeight="1">
      <x:c r="A5" s="1" t="str">
        <x:v>S0004</x:v>
      </x:c>
      <x:c r="B5" s="1" t="str">
        <x:v>2026-01</x:v>
      </x:c>
      <x:c r="C5" s="1" t="str">
        <x:v>광주</x:v>
      </x:c>
      <x:c r="D5" s="1" t="str">
        <x:v>도서</x:v>
      </x:c>
      <x:c r="E5" s="1" t="str">
        <x:v>온라인</x:v>
      </x:c>
      <x:c r="F5" s="2" t="n">
        <x:v>18500</x:v>
      </x:c>
      <x:c r="G5" s="2" t="n">
        <x:v>14</x:v>
      </x:c>
      <x:c r="H5" s="1"/>
      <x:c r="I5" s="1"/>
      <x:c r="J5" s="1"/>
    </x:row>
    <x:row r="6" ht="24" customHeight="1">
      <x:c r="A6" s="1" t="str">
        <x:v>S0005</x:v>
      </x:c>
      <x:c r="B6" s="1" t="str">
        <x:v>2026-02</x:v>
      </x:c>
      <x:c r="C6" s="1" t="str">
        <x:v>서울</x:v>
      </x:c>
      <x:c r="D6" s="1" t="str">
        <x:v>도서</x:v>
      </x:c>
      <x:c r="E6" s="1" t="str">
        <x:v>매장</x:v>
      </x:c>
      <x:c r="F6" s="2" t="n">
        <x:v>12000</x:v>
      </x:c>
      <x:c r="G6" s="2" t="n">
        <x:v>12</x:v>
      </x:c>
      <x:c r="H6" s="1"/>
      <x:c r="I6" s="1"/>
      <x:c r="J6" s="1"/>
    </x:row>
    <x:row r="7" ht="24" customHeight="1">
      <x:c r="A7" s="1" t="str">
        <x:v>S0006</x:v>
      </x:c>
      <x:c r="B7" s="1" t="str">
        <x:v>2026-02</x:v>
      </x:c>
      <x:c r="C7" s="1" t="str">
        <x:v>부산</x:v>
      </x:c>
      <x:c r="D7" s="1" t="str">
        <x:v>문구</x:v>
      </x:c>
      <x:c r="E7" s="1" t="str">
        <x:v>온라인</x:v>
      </x:c>
      <x:c r="F7" s="2" t="n">
        <x:v>14500</x:v>
      </x:c>
      <x:c r="G7" s="2" t="n">
        <x:v>13</x:v>
      </x:c>
      <x:c r="H7" s="1"/>
      <x:c r="I7" s="1"/>
      <x:c r="J7" s="1"/>
    </x:row>
    <x:row r="8" ht="24" customHeight="1">
      <x:c r="A8" s="1" t="str">
        <x:v>S0007</x:v>
      </x:c>
      <x:c r="B8" s="1" t="str">
        <x:v>2026-02</x:v>
      </x:c>
      <x:c r="C8" s="1" t="str">
        <x:v>대전</x:v>
      </x:c>
      <x:c r="D8" s="1" t="str">
        <x:v>음료</x:v>
      </x:c>
      <x:c r="E8" s="1" t="str">
        <x:v>매장</x:v>
      </x:c>
      <x:c r="F8" s="2" t="n">
        <x:v>17000</x:v>
      </x:c>
      <x:c r="G8" s="2" t="n">
        <x:v>14</x:v>
      </x:c>
      <x:c r="H8" s="1"/>
      <x:c r="I8" s="1"/>
      <x:c r="J8" s="1"/>
    </x:row>
    <x:row r="9" ht="24" customHeight="1">
      <x:c r="A9" s="1" t="str">
        <x:v>S0008</x:v>
      </x:c>
      <x:c r="B9" s="1" t="str">
        <x:v>2026-02</x:v>
      </x:c>
      <x:c r="C9" s="1" t="str">
        <x:v>광주</x:v>
      </x:c>
      <x:c r="D9" s="1" t="str">
        <x:v>도서</x:v>
      </x:c>
      <x:c r="E9" s="1" t="str">
        <x:v>온라인</x:v>
      </x:c>
      <x:c r="F9" s="2" t="n">
        <x:v>19500</x:v>
      </x:c>
      <x:c r="G9" s="2" t="n">
        <x:v>15</x:v>
      </x:c>
      <x:c r="H9" s="1"/>
      <x:c r="I9" s="1"/>
      <x:c r="J9" s="1"/>
    </x:row>
    <x:row r="10" ht="24" customHeight="1">
      <x:c r="A10" s="1" t="str">
        <x:v>S0009</x:v>
      </x:c>
      <x:c r="B10" s="1" t="str">
        <x:v>2026-03</x:v>
      </x:c>
      <x:c r="C10" s="1" t="str">
        <x:v>서울</x:v>
      </x:c>
      <x:c r="D10" s="1" t="str">
        <x:v>도서</x:v>
      </x:c>
      <x:c r="E10" s="1" t="str">
        <x:v>매장</x:v>
      </x:c>
      <x:c r="F10" s="2" t="n">
        <x:v>13000</x:v>
      </x:c>
      <x:c r="G10" s="2" t="n">
        <x:v>13</x:v>
      </x:c>
      <x:c r="H10" s="1"/>
      <x:c r="I10" s="1"/>
      <x:c r="J10" s="1"/>
    </x:row>
    <x:row r="11" ht="24" customHeight="1">
      <x:c r="A11" s="1" t="str">
        <x:v>S0010</x:v>
      </x:c>
      <x:c r="B11" s="1" t="str">
        <x:v>2026-03</x:v>
      </x:c>
      <x:c r="C11" s="1" t="str">
        <x:v>부산</x:v>
      </x:c>
      <x:c r="D11" s="1" t="str">
        <x:v>문구</x:v>
      </x:c>
      <x:c r="E11" s="1" t="str">
        <x:v>온라인</x:v>
      </x:c>
      <x:c r="F11" s="2" t="n">
        <x:v>15500</x:v>
      </x:c>
      <x:c r="G11" s="2" t="n">
        <x:v>14</x:v>
      </x:c>
      <x:c r="H11" s="1"/>
      <x:c r="I11" s="1"/>
      <x:c r="J11" s="1"/>
    </x:row>
    <x:row r="12" ht="24" customHeight="1">
      <x:c r="A12" s="1" t="str">
        <x:v>S0011</x:v>
      </x:c>
      <x:c r="B12" s="1" t="str">
        <x:v>2026-03</x:v>
      </x:c>
      <x:c r="C12" s="1" t="str">
        <x:v>대전</x:v>
      </x:c>
      <x:c r="D12" s="1" t="str">
        <x:v>음료</x:v>
      </x:c>
      <x:c r="E12" s="1" t="str">
        <x:v>매장</x:v>
      </x:c>
      <x:c r="F12" s="2" t="n">
        <x:v>18000</x:v>
      </x:c>
      <x:c r="G12" s="2" t="n">
        <x:v>15</x:v>
      </x:c>
      <x:c r="H12" s="1"/>
      <x:c r="I12" s="1"/>
      <x:c r="J12" s="1"/>
    </x:row>
    <x:row r="13" ht="24" customHeight="1">
      <x:c r="A13" s="1" t="str">
        <x:v>S0012</x:v>
      </x:c>
      <x:c r="B13" s="1" t="str">
        <x:v>2026-03</x:v>
      </x:c>
      <x:c r="C13" s="1" t="str">
        <x:v>광주</x:v>
      </x:c>
      <x:c r="D13" s="1" t="str">
        <x:v>도서</x:v>
      </x:c>
      <x:c r="E13" s="1" t="str">
        <x:v>온라인</x:v>
      </x:c>
      <x:c r="F13" s="2" t="n">
        <x:v>20500</x:v>
      </x:c>
      <x:c r="G13" s="2" t="n">
        <x:v>16</x:v>
      </x:c>
      <x:c r="H13" s="1"/>
      <x:c r="I13" s="1"/>
      <x:c r="J13" s="1"/>
    </x:row>
    <x:row r="14" ht="24" customHeight="1">
      <x:c r="A14" s="1" t="str">
        <x:v>S0013</x:v>
      </x:c>
      <x:c r="B14" s="1" t="str">
        <x:v>2026-04</x:v>
      </x:c>
      <x:c r="C14" s="1" t="str">
        <x:v>서울</x:v>
      </x:c>
      <x:c r="D14" s="1" t="str">
        <x:v>도서</x:v>
      </x:c>
      <x:c r="E14" s="1" t="str">
        <x:v>매장</x:v>
      </x:c>
      <x:c r="F14" s="2" t="n">
        <x:v>14000</x:v>
      </x:c>
      <x:c r="G14" s="2" t="n">
        <x:v>14</x:v>
      </x:c>
      <x:c r="H14" s="1"/>
      <x:c r="I14" s="1"/>
      <x:c r="J14" s="1"/>
    </x:row>
    <x:row r="15" ht="24" customHeight="1">
      <x:c r="A15" s="1" t="str">
        <x:v>S0014</x:v>
      </x:c>
      <x:c r="B15" s="1" t="str">
        <x:v>2026-04</x:v>
      </x:c>
      <x:c r="C15" s="1" t="str">
        <x:v>부산</x:v>
      </x:c>
      <x:c r="D15" s="1" t="str">
        <x:v>문구</x:v>
      </x:c>
      <x:c r="E15" s="1" t="str">
        <x:v>온라인</x:v>
      </x:c>
      <x:c r="F15" s="2" t="n">
        <x:v>16500</x:v>
      </x:c>
      <x:c r="G15" s="2" t="n">
        <x:v>15</x:v>
      </x:c>
      <x:c r="H15" s="1"/>
      <x:c r="I15" s="1"/>
      <x:c r="J15" s="1"/>
    </x:row>
    <x:row r="16" ht="24" customHeight="1">
      <x:c r="A16" s="1" t="str">
        <x:v>S0015</x:v>
      </x:c>
      <x:c r="B16" s="1" t="str">
        <x:v>2026-04</x:v>
      </x:c>
      <x:c r="C16" s="1" t="str">
        <x:v>대전</x:v>
      </x:c>
      <x:c r="D16" s="1" t="str">
        <x:v>음료</x:v>
      </x:c>
      <x:c r="E16" s="1" t="str">
        <x:v>매장</x:v>
      </x:c>
      <x:c r="F16" s="2" t="n">
        <x:v>19000</x:v>
      </x:c>
      <x:c r="G16" s="2" t="n">
        <x:v>16</x:v>
      </x:c>
      <x:c r="H16" s="1"/>
      <x:c r="I16" s="1"/>
      <x:c r="J16" s="1"/>
    </x:row>
    <x:row r="17" ht="24" customHeight="1">
      <x:c r="A17" s="1" t="str">
        <x:v>S0016</x:v>
      </x:c>
      <x:c r="B17" s="1" t="str">
        <x:v>2026-04</x:v>
      </x:c>
      <x:c r="C17" s="1" t="str">
        <x:v>광주</x:v>
      </x:c>
      <x:c r="D17" s="1" t="str">
        <x:v>도서</x:v>
      </x:c>
      <x:c r="E17" s="1" t="str">
        <x:v>온라인</x:v>
      </x:c>
      <x:c r="F17" s="2" t="n">
        <x:v>21500</x:v>
      </x:c>
      <x:c r="G17" s="2" t="n">
        <x:v>17</x:v>
      </x:c>
      <x:c r="H17" s="1"/>
      <x:c r="I17" s="1"/>
      <x:c r="J17" s="1"/>
    </x:row>
    <x:row r="18" ht="24" customHeight="1">
      <x:c r="A18" s="1" t="str">
        <x:v>S0017</x:v>
      </x:c>
      <x:c r="B18" s="1" t="str">
        <x:v>2026-05</x:v>
      </x:c>
      <x:c r="C18" s="1" t="str">
        <x:v>서울</x:v>
      </x:c>
      <x:c r="D18" s="1" t="str">
        <x:v>도서</x:v>
      </x:c>
      <x:c r="E18" s="1" t="str">
        <x:v>매장</x:v>
      </x:c>
      <x:c r="F18" s="2" t="n">
        <x:v>15000</x:v>
      </x:c>
      <x:c r="G18" s="2" t="n">
        <x:v>15</x:v>
      </x:c>
      <x:c r="H18" s="1"/>
      <x:c r="I18" s="1"/>
      <x:c r="J18" s="1"/>
    </x:row>
    <x:row r="19" ht="24" customHeight="1">
      <x:c r="A19" s="1" t="str">
        <x:v>S0018</x:v>
      </x:c>
      <x:c r="B19" s="1" t="str">
        <x:v>2026-05</x:v>
      </x:c>
      <x:c r="C19" s="1" t="str">
        <x:v>부산</x:v>
      </x:c>
      <x:c r="D19" s="1" t="str">
        <x:v>문구</x:v>
      </x:c>
      <x:c r="E19" s="1" t="str">
        <x:v>온라인</x:v>
      </x:c>
      <x:c r="F19" s="2" t="n">
        <x:v>17500</x:v>
      </x:c>
      <x:c r="G19" s="2" t="n">
        <x:v>16</x:v>
      </x:c>
      <x:c r="H19" s="1"/>
      <x:c r="I19" s="1"/>
      <x:c r="J19" s="1"/>
    </x:row>
    <x:row r="20" ht="24" customHeight="1">
      <x:c r="A20" s="1" t="str">
        <x:v>S0019</x:v>
      </x:c>
      <x:c r="B20" s="1" t="str">
        <x:v>2026-05</x:v>
      </x:c>
      <x:c r="C20" s="1" t="str">
        <x:v>대전</x:v>
      </x:c>
      <x:c r="D20" s="1" t="str">
        <x:v>음료</x:v>
      </x:c>
      <x:c r="E20" s="1" t="str">
        <x:v>매장</x:v>
      </x:c>
      <x:c r="F20" s="2" t="n">
        <x:v>20000</x:v>
      </x:c>
      <x:c r="G20" s="2" t="n">
        <x:v>17</x:v>
      </x:c>
      <x:c r="H20" s="1"/>
      <x:c r="I20" s="1"/>
      <x:c r="J20" s="1"/>
    </x:row>
    <x:row r="21" ht="24" customHeight="1">
      <x:c r="A21" s="1" t="str">
        <x:v>S0020</x:v>
      </x:c>
      <x:c r="B21" s="1" t="str">
        <x:v>2026-05</x:v>
      </x:c>
      <x:c r="C21" s="1" t="str">
        <x:v>광주</x:v>
      </x:c>
      <x:c r="D21" s="1" t="str">
        <x:v>도서</x:v>
      </x:c>
      <x:c r="E21" s="1" t="str">
        <x:v>온라인</x:v>
      </x:c>
      <x:c r="F21" s="2" t="n">
        <x:v>22500</x:v>
      </x:c>
      <x:c r="G21" s="2" t="n">
        <x:v>18</x:v>
      </x:c>
      <x:c r="H21" s="1"/>
      <x:c r="I21" s="1"/>
      <x:c r="J21" s="1"/>
    </x:row>
    <x:row r="22" ht="24" customHeight="1">
      <x:c r="A22" s="1" t="str">
        <x:v>S0021</x:v>
      </x:c>
      <x:c r="B22" s="1" t="str">
        <x:v>2026-06</x:v>
      </x:c>
      <x:c r="C22" s="1" t="str">
        <x:v>서울</x:v>
      </x:c>
      <x:c r="D22" s="1" t="str">
        <x:v>도서</x:v>
      </x:c>
      <x:c r="E22" s="1" t="str">
        <x:v>매장</x:v>
      </x:c>
      <x:c r="F22" s="2" t="n">
        <x:v>16000</x:v>
      </x:c>
      <x:c r="G22" s="2" t="n">
        <x:v>16</x:v>
      </x:c>
      <x:c r="H22" s="1"/>
      <x:c r="I22" s="1"/>
      <x:c r="J22" s="1"/>
    </x:row>
    <x:row r="23" ht="24" customHeight="1">
      <x:c r="A23" s="1" t="str">
        <x:v>S0022</x:v>
      </x:c>
      <x:c r="B23" s="1" t="str">
        <x:v>2026-06</x:v>
      </x:c>
      <x:c r="C23" s="1" t="str">
        <x:v>부산</x:v>
      </x:c>
      <x:c r="D23" s="1" t="str">
        <x:v>문구</x:v>
      </x:c>
      <x:c r="E23" s="1" t="str">
        <x:v>온라인</x:v>
      </x:c>
      <x:c r="F23" s="2" t="n">
        <x:v>18500</x:v>
      </x:c>
      <x:c r="G23" s="2" t="n">
        <x:v>17</x:v>
      </x:c>
      <x:c r="H23" s="1"/>
      <x:c r="I23" s="1"/>
      <x:c r="J23" s="1"/>
    </x:row>
    <x:row r="24" ht="24" customHeight="1">
      <x:c r="A24" s="1" t="str">
        <x:v>S0023</x:v>
      </x:c>
      <x:c r="B24" s="1" t="str">
        <x:v>2026-06</x:v>
      </x:c>
      <x:c r="C24" s="1" t="str">
        <x:v>대전</x:v>
      </x:c>
      <x:c r="D24" s="1" t="str">
        <x:v>음료</x:v>
      </x:c>
      <x:c r="E24" s="1" t="str">
        <x:v>매장</x:v>
      </x:c>
      <x:c r="F24" s="2" t="n">
        <x:v>21000</x:v>
      </x:c>
      <x:c r="G24" s="2" t="n">
        <x:v>18</x:v>
      </x:c>
      <x:c r="H24" s="1"/>
      <x:c r="I24" s="1"/>
      <x:c r="J24" s="1"/>
    </x:row>
    <x:row r="25" ht="24" customHeight="1">
      <x:c r="A25" s="1" t="str">
        <x:v>S0024</x:v>
      </x:c>
      <x:c r="B25" s="1" t="str">
        <x:v>2026-06</x:v>
      </x:c>
      <x:c r="C25" s="1" t="str">
        <x:v>광주</x:v>
      </x:c>
      <x:c r="D25" s="1" t="str">
        <x:v>도서</x:v>
      </x:c>
      <x:c r="E25" s="1" t="str">
        <x:v>온라인</x:v>
      </x:c>
      <x:c r="F25" s="2" t="n">
        <x:v>23500</x:v>
      </x:c>
      <x:c r="G25" s="2" t="n">
        <x:v>19</x:v>
      </x:c>
      <x:c r="H25" s="1"/>
      <x:c r="I25" s="1"/>
      <x:c r="J25" s="1"/>
    </x:row>
    <x:row r="26" ht="24" customHeight="1">
      <x:c r="A26" s="1" t="str">
        <x:v>S0025</x:v>
      </x:c>
      <x:c r="B26" s="1" t="str">
        <x:v>2026-07</x:v>
      </x:c>
      <x:c r="C26" s="1" t="str">
        <x:v>서울</x:v>
      </x:c>
      <x:c r="D26" s="1" t="str">
        <x:v>도서</x:v>
      </x:c>
      <x:c r="E26" s="1" t="str">
        <x:v>매장</x:v>
      </x:c>
      <x:c r="F26" s="2" t="n">
        <x:v>17000</x:v>
      </x:c>
      <x:c r="G26" s="2" t="n">
        <x:v>17</x:v>
      </x:c>
      <x:c r="H26" s="1"/>
      <x:c r="I26" s="1"/>
      <x:c r="J26" s="1"/>
    </x:row>
    <x:row r="27" ht="24" customHeight="1">
      <x:c r="A27" s="1" t="str">
        <x:v>S0026</x:v>
      </x:c>
      <x:c r="B27" s="1" t="str">
        <x:v>2026-07</x:v>
      </x:c>
      <x:c r="C27" s="1" t="str">
        <x:v>부산</x:v>
      </x:c>
      <x:c r="D27" s="1" t="str">
        <x:v>문구</x:v>
      </x:c>
      <x:c r="E27" s="1" t="str">
        <x:v>온라인</x:v>
      </x:c>
      <x:c r="F27" s="2" t="n">
        <x:v>19500</x:v>
      </x:c>
      <x:c r="G27" s="2" t="n">
        <x:v>18</x:v>
      </x:c>
      <x:c r="H27" s="1"/>
      <x:c r="I27" s="1"/>
      <x:c r="J27" s="1"/>
    </x:row>
    <x:row r="28" ht="24" customHeight="1">
      <x:c r="A28" s="1" t="str">
        <x:v>S0027</x:v>
      </x:c>
      <x:c r="B28" s="1" t="str">
        <x:v>2026-07</x:v>
      </x:c>
      <x:c r="C28" s="1" t="str">
        <x:v>대전</x:v>
      </x:c>
      <x:c r="D28" s="1" t="str">
        <x:v>음료</x:v>
      </x:c>
      <x:c r="E28" s="1" t="str">
        <x:v>매장</x:v>
      </x:c>
      <x:c r="F28" s="2" t="n">
        <x:v>22000</x:v>
      </x:c>
      <x:c r="G28" s="2" t="n">
        <x:v>19</x:v>
      </x:c>
      <x:c r="H28" s="1"/>
      <x:c r="I28" s="1"/>
      <x:c r="J28" s="1"/>
    </x:row>
    <x:row r="29" ht="24" customHeight="1">
      <x:c r="A29" s="1" t="str">
        <x:v>S0028</x:v>
      </x:c>
      <x:c r="B29" s="1" t="str">
        <x:v>2026-07</x:v>
      </x:c>
      <x:c r="C29" s="1" t="str">
        <x:v>광주</x:v>
      </x:c>
      <x:c r="D29" s="1" t="str">
        <x:v>도서</x:v>
      </x:c>
      <x:c r="E29" s="1" t="str">
        <x:v>온라인</x:v>
      </x:c>
      <x:c r="F29" s="2" t="n">
        <x:v>24500</x:v>
      </x:c>
      <x:c r="G29" s="2" t="n">
        <x:v>20</x:v>
      </x:c>
      <x:c r="H29" s="1"/>
      <x:c r="I29" s="1"/>
      <x:c r="J29" s="1"/>
    </x:row>
    <x:row r="30" ht="24" customHeight="1">
      <x:c r="A30" s="1" t="str">
        <x:v>S0029</x:v>
      </x:c>
      <x:c r="B30" s="1" t="str">
        <x:v>2026-08</x:v>
      </x:c>
      <x:c r="C30" s="1" t="str">
        <x:v>서울</x:v>
      </x:c>
      <x:c r="D30" s="1" t="str">
        <x:v>도서</x:v>
      </x:c>
      <x:c r="E30" s="1" t="str">
        <x:v>매장</x:v>
      </x:c>
      <x:c r="F30" s="2" t="n">
        <x:v>18000</x:v>
      </x:c>
      <x:c r="G30" s="2" t="n">
        <x:v>18</x:v>
      </x:c>
      <x:c r="H30" s="1"/>
      <x:c r="I30" s="1"/>
      <x:c r="J30" s="1"/>
    </x:row>
    <x:row r="31" ht="24" customHeight="1">
      <x:c r="A31" s="1" t="str">
        <x:v>S0030</x:v>
      </x:c>
      <x:c r="B31" s="1" t="str">
        <x:v>2026-08</x:v>
      </x:c>
      <x:c r="C31" s="1" t="str">
        <x:v>부산</x:v>
      </x:c>
      <x:c r="D31" s="1" t="str">
        <x:v>문구</x:v>
      </x:c>
      <x:c r="E31" s="1" t="str">
        <x:v>온라인</x:v>
      </x:c>
      <x:c r="F31" s="2" t="n">
        <x:v>20500</x:v>
      </x:c>
      <x:c r="G31" s="2" t="n">
        <x:v>19</x:v>
      </x:c>
      <x:c r="H31" s="1"/>
      <x:c r="I31" s="1"/>
      <x:c r="J31" s="1"/>
    </x:row>
    <x:row r="32" ht="24" customHeight="1">
      <x:c r="A32" s="1" t="str">
        <x:v>S0031</x:v>
      </x:c>
      <x:c r="B32" s="1" t="str">
        <x:v>2026-08</x:v>
      </x:c>
      <x:c r="C32" s="1" t="str">
        <x:v>대전</x:v>
      </x:c>
      <x:c r="D32" s="1" t="str">
        <x:v>음료</x:v>
      </x:c>
      <x:c r="E32" s="1" t="str">
        <x:v>매장</x:v>
      </x:c>
      <x:c r="F32" s="2" t="n">
        <x:v>23000</x:v>
      </x:c>
      <x:c r="G32" s="2" t="n">
        <x:v>20</x:v>
      </x:c>
      <x:c r="H32" s="1"/>
      <x:c r="I32" s="1"/>
      <x:c r="J32" s="1"/>
    </x:row>
    <x:row r="33" ht="24" customHeight="1">
      <x:c r="A33" s="1" t="str">
        <x:v>S0032</x:v>
      </x:c>
      <x:c r="B33" s="1" t="str">
        <x:v>2026-08</x:v>
      </x:c>
      <x:c r="C33" s="1" t="str">
        <x:v>광주</x:v>
      </x:c>
      <x:c r="D33" s="1" t="str">
        <x:v>도서</x:v>
      </x:c>
      <x:c r="E33" s="1" t="str">
        <x:v>온라인</x:v>
      </x:c>
      <x:c r="F33" s="2" t="n">
        <x:v>25500</x:v>
      </x:c>
      <x:c r="G33" s="2" t="n">
        <x:v>21</x:v>
      </x:c>
      <x:c r="H33" s="1"/>
      <x:c r="I33" s="1"/>
      <x:c r="J33" s="1"/>
    </x:row>
    <x:row r="34" ht="24" customHeight="1">
      <x:c r="A34" s="1" t="str">
        <x:v>S0033</x:v>
      </x:c>
      <x:c r="B34" s="1" t="str">
        <x:v>2026-09</x:v>
      </x:c>
      <x:c r="C34" s="1" t="str">
        <x:v>서울</x:v>
      </x:c>
      <x:c r="D34" s="1" t="str">
        <x:v>도서</x:v>
      </x:c>
      <x:c r="E34" s="1" t="str">
        <x:v>매장</x:v>
      </x:c>
      <x:c r="F34" s="2" t="n">
        <x:v>19000</x:v>
      </x:c>
      <x:c r="G34" s="2" t="n">
        <x:v>19</x:v>
      </x:c>
      <x:c r="H34" s="1"/>
      <x:c r="I34" s="1"/>
      <x:c r="J34" s="1"/>
    </x:row>
    <x:row r="35" ht="24" customHeight="1">
      <x:c r="A35" s="1" t="str">
        <x:v>S0034</x:v>
      </x:c>
      <x:c r="B35" s="1" t="str">
        <x:v>2026-09</x:v>
      </x:c>
      <x:c r="C35" s="1" t="str">
        <x:v>부산</x:v>
      </x:c>
      <x:c r="D35" s="1" t="str">
        <x:v>문구</x:v>
      </x:c>
      <x:c r="E35" s="1" t="str">
        <x:v>온라인</x:v>
      </x:c>
      <x:c r="F35" s="2" t="n">
        <x:v>21500</x:v>
      </x:c>
      <x:c r="G35" s="2" t="n">
        <x:v>20</x:v>
      </x:c>
      <x:c r="H35" s="1"/>
      <x:c r="I35" s="1"/>
      <x:c r="J35" s="1"/>
    </x:row>
    <x:row r="36" ht="24" customHeight="1">
      <x:c r="A36" s="1" t="str">
        <x:v>S0035</x:v>
      </x:c>
      <x:c r="B36" s="1" t="str">
        <x:v>2026-09</x:v>
      </x:c>
      <x:c r="C36" s="1" t="str">
        <x:v>대전</x:v>
      </x:c>
      <x:c r="D36" s="1" t="str">
        <x:v>음료</x:v>
      </x:c>
      <x:c r="E36" s="1" t="str">
        <x:v>매장</x:v>
      </x:c>
      <x:c r="F36" s="2" t="n">
        <x:v>24000</x:v>
      </x:c>
      <x:c r="G36" s="2" t="n">
        <x:v>21</x:v>
      </x:c>
      <x:c r="H36" s="1"/>
      <x:c r="I36" s="1"/>
      <x:c r="J36" s="1"/>
    </x:row>
    <x:row r="37" ht="24" customHeight="1">
      <x:c r="A37" s="1" t="str">
        <x:v>S0036</x:v>
      </x:c>
      <x:c r="B37" s="1" t="str">
        <x:v>2026-09</x:v>
      </x:c>
      <x:c r="C37" s="1" t="str">
        <x:v>광주</x:v>
      </x:c>
      <x:c r="D37" s="1" t="str">
        <x:v>도서</x:v>
      </x:c>
      <x:c r="E37" s="1" t="str">
        <x:v>온라인</x:v>
      </x:c>
      <x:c r="F37" s="2" t="n">
        <x:v>26500</x:v>
      </x:c>
      <x:c r="G37" s="2" t="n">
        <x:v>22</x:v>
      </x:c>
      <x:c r="H37" s="1"/>
      <x:c r="I37" s="1"/>
      <x:c r="J37" s="1"/>
    </x:row>
    <x:row r="38" ht="24" customHeight="1">
      <x:c r="A38" s="1" t="str">
        <x:v>S0037</x:v>
      </x:c>
      <x:c r="B38" s="1" t="str">
        <x:v>2026-10</x:v>
      </x:c>
      <x:c r="C38" s="1" t="str">
        <x:v>서울</x:v>
      </x:c>
      <x:c r="D38" s="1" t="str">
        <x:v>도서</x:v>
      </x:c>
      <x:c r="E38" s="1" t="str">
        <x:v>매장</x:v>
      </x:c>
      <x:c r="F38" s="2" t="n">
        <x:v>20000</x:v>
      </x:c>
      <x:c r="G38" s="2" t="n">
        <x:v>20</x:v>
      </x:c>
      <x:c r="H38" s="1"/>
      <x:c r="I38" s="1"/>
      <x:c r="J38" s="1"/>
    </x:row>
    <x:row r="39" ht="24" customHeight="1">
      <x:c r="A39" s="1" t="str">
        <x:v>S0038</x:v>
      </x:c>
      <x:c r="B39" s="1" t="str">
        <x:v>2026-10</x:v>
      </x:c>
      <x:c r="C39" s="1" t="str">
        <x:v>부산</x:v>
      </x:c>
      <x:c r="D39" s="1" t="str">
        <x:v>문구</x:v>
      </x:c>
      <x:c r="E39" s="1" t="str">
        <x:v>온라인</x:v>
      </x:c>
      <x:c r="F39" s="2" t="n">
        <x:v>22500</x:v>
      </x:c>
      <x:c r="G39" s="2" t="n">
        <x:v>21</x:v>
      </x:c>
      <x:c r="H39" s="1"/>
      <x:c r="I39" s="1"/>
      <x:c r="J39" s="1"/>
    </x:row>
    <x:row r="40" ht="24" customHeight="1">
      <x:c r="A40" s="1" t="str">
        <x:v>S0039</x:v>
      </x:c>
      <x:c r="B40" s="1" t="str">
        <x:v>2026-10</x:v>
      </x:c>
      <x:c r="C40" s="1" t="str">
        <x:v>대전</x:v>
      </x:c>
      <x:c r="D40" s="1" t="str">
        <x:v>음료</x:v>
      </x:c>
      <x:c r="E40" s="1" t="str">
        <x:v>매장</x:v>
      </x:c>
      <x:c r="F40" s="2" t="n">
        <x:v>25000</x:v>
      </x:c>
      <x:c r="G40" s="2" t="n">
        <x:v>22</x:v>
      </x:c>
      <x:c r="H40" s="1"/>
      <x:c r="I40" s="1"/>
      <x:c r="J40" s="1"/>
    </x:row>
    <x:row r="41" ht="24" customHeight="1">
      <x:c r="A41" s="1" t="str">
        <x:v>S0040</x:v>
      </x:c>
      <x:c r="B41" s="1" t="str">
        <x:v>2026-10</x:v>
      </x:c>
      <x:c r="C41" s="1" t="str">
        <x:v>광주</x:v>
      </x:c>
      <x:c r="D41" s="1" t="str">
        <x:v>도서</x:v>
      </x:c>
      <x:c r="E41" s="1" t="str">
        <x:v>온라인</x:v>
      </x:c>
      <x:c r="F41" s="2" t="n">
        <x:v>27500</x:v>
      </x:c>
      <x:c r="G41" s="2" t="n">
        <x:v>23</x:v>
      </x:c>
      <x:c r="H41" s="1"/>
      <x:c r="I41" s="1"/>
      <x:c r="J41" s="1"/>
    </x:row>
    <x:row r="42" ht="24" customHeight="1">
      <x:c r="A42" s="1" t="str">
        <x:v>S0041</x:v>
      </x:c>
      <x:c r="B42" s="1" t="str">
        <x:v>2026-11</x:v>
      </x:c>
      <x:c r="C42" s="1" t="str">
        <x:v>서울</x:v>
      </x:c>
      <x:c r="D42" s="1" t="str">
        <x:v>도서</x:v>
      </x:c>
      <x:c r="E42" s="1" t="str">
        <x:v>매장</x:v>
      </x:c>
      <x:c r="F42" s="2" t="n">
        <x:v>21000</x:v>
      </x:c>
      <x:c r="G42" s="2" t="n">
        <x:v>21</x:v>
      </x:c>
      <x:c r="H42" s="1"/>
      <x:c r="I42" s="1"/>
      <x:c r="J42" s="1"/>
    </x:row>
    <x:row r="43" ht="24" customHeight="1">
      <x:c r="A43" s="1" t="str">
        <x:v>S0042</x:v>
      </x:c>
      <x:c r="B43" s="1" t="str">
        <x:v>2026-11</x:v>
      </x:c>
      <x:c r="C43" s="1" t="str">
        <x:v>부산</x:v>
      </x:c>
      <x:c r="D43" s="1" t="str">
        <x:v>문구</x:v>
      </x:c>
      <x:c r="E43" s="1" t="str">
        <x:v>온라인</x:v>
      </x:c>
      <x:c r="F43" s="2" t="n">
        <x:v>23500</x:v>
      </x:c>
      <x:c r="G43" s="2" t="n">
        <x:v>22</x:v>
      </x:c>
      <x:c r="H43" s="1"/>
      <x:c r="I43" s="1"/>
      <x:c r="J43" s="1"/>
    </x:row>
    <x:row r="44" ht="24" customHeight="1">
      <x:c r="A44" s="1" t="str">
        <x:v>S0043</x:v>
      </x:c>
      <x:c r="B44" s="1" t="str">
        <x:v>2026-11</x:v>
      </x:c>
      <x:c r="C44" s="1" t="str">
        <x:v>대전</x:v>
      </x:c>
      <x:c r="D44" s="1" t="str">
        <x:v>음료</x:v>
      </x:c>
      <x:c r="E44" s="1" t="str">
        <x:v>매장</x:v>
      </x:c>
      <x:c r="F44" s="2" t="n">
        <x:v>26000</x:v>
      </x:c>
      <x:c r="G44" s="2" t="n">
        <x:v>23</x:v>
      </x:c>
      <x:c r="H44" s="1"/>
      <x:c r="I44" s="1"/>
      <x:c r="J44" s="1"/>
    </x:row>
    <x:row r="45" ht="24" customHeight="1">
      <x:c r="A45" s="1" t="str">
        <x:v>S0044</x:v>
      </x:c>
      <x:c r="B45" s="1" t="str">
        <x:v>2026-11</x:v>
      </x:c>
      <x:c r="C45" s="1" t="str">
        <x:v>광주</x:v>
      </x:c>
      <x:c r="D45" s="1" t="str">
        <x:v>도서</x:v>
      </x:c>
      <x:c r="E45" s="1" t="str">
        <x:v>온라인</x:v>
      </x:c>
      <x:c r="F45" s="2" t="n">
        <x:v>28500</x:v>
      </x:c>
      <x:c r="G45" s="2" t="n">
        <x:v>24</x:v>
      </x:c>
      <x:c r="H45" s="1"/>
      <x:c r="I45" s="1"/>
      <x:c r="J45" s="1"/>
    </x:row>
    <x:row r="46" ht="24" customHeight="1">
      <x:c r="A46" s="1" t="str">
        <x:v>S0045</x:v>
      </x:c>
      <x:c r="B46" s="1" t="str">
        <x:v>2026-12</x:v>
      </x:c>
      <x:c r="C46" s="1" t="str">
        <x:v>서울</x:v>
      </x:c>
      <x:c r="D46" s="1" t="str">
        <x:v>도서</x:v>
      </x:c>
      <x:c r="E46" s="1" t="str">
        <x:v>매장</x:v>
      </x:c>
      <x:c r="F46" s="2" t="n">
        <x:v>22000</x:v>
      </x:c>
      <x:c r="G46" s="2" t="n">
        <x:v>22</x:v>
      </x:c>
      <x:c r="H46" s="1"/>
      <x:c r="I46" s="1"/>
      <x:c r="J46" s="1"/>
    </x:row>
    <x:row r="47" ht="24" customHeight="1">
      <x:c r="A47" s="1" t="str">
        <x:v>S0046</x:v>
      </x:c>
      <x:c r="B47" s="1" t="str">
        <x:v>2026-12</x:v>
      </x:c>
      <x:c r="C47" s="1" t="str">
        <x:v>부산</x:v>
      </x:c>
      <x:c r="D47" s="1" t="str">
        <x:v>문구</x:v>
      </x:c>
      <x:c r="E47" s="1" t="str">
        <x:v>온라인</x:v>
      </x:c>
      <x:c r="F47" s="2" t="n">
        <x:v>24500</x:v>
      </x:c>
      <x:c r="G47" s="2" t="n">
        <x:v>23</x:v>
      </x:c>
      <x:c r="H47" s="1"/>
      <x:c r="I47" s="1"/>
      <x:c r="J47" s="1"/>
    </x:row>
    <x:row r="48" ht="24" customHeight="1">
      <x:c r="A48" s="1" t="str">
        <x:v>S0047</x:v>
      </x:c>
      <x:c r="B48" s="1" t="str">
        <x:v>2026-12</x:v>
      </x:c>
      <x:c r="C48" s="1" t="str">
        <x:v>대전</x:v>
      </x:c>
      <x:c r="D48" s="1" t="str">
        <x:v>음료</x:v>
      </x:c>
      <x:c r="E48" s="1" t="str">
        <x:v>매장</x:v>
      </x:c>
      <x:c r="F48" s="2" t="n">
        <x:v>27000</x:v>
      </x:c>
      <x:c r="G48" s="2" t="n">
        <x:v>24</x:v>
      </x:c>
      <x:c r="H48" s="1"/>
      <x:c r="I48" s="1"/>
      <x:c r="J48" s="1"/>
    </x:row>
    <x:row r="49" ht="24" customHeight="1">
      <x:c r="A49" s="1" t="str">
        <x:v>S0048</x:v>
      </x:c>
      <x:c r="B49" s="1" t="str">
        <x:v>2026-12</x:v>
      </x:c>
      <x:c r="C49" s="1" t="str">
        <x:v>광주</x:v>
      </x:c>
      <x:c r="D49" s="1" t="str">
        <x:v>도서</x:v>
      </x:c>
      <x:c r="E49" s="1" t="str">
        <x:v>온라인</x:v>
      </x:c>
      <x:c r="F49" s="2" t="n">
        <x:v>29500</x:v>
      </x:c>
      <x:c r="G49" s="2" t="n">
        <x:v>25</x:v>
      </x:c>
      <x:c r="H49" s="1"/>
      <x:c r="I49" s="1"/>
      <x:c r="J49" s="1"/>
    </x:row>
    <x:row r="50" ht="24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  <x:row r="51" ht="24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</x:row>
    <x:row r="52" ht="24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</x:row>
    <x:row r="53" ht="24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 ht="24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 ht="24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</x:sheetData>
  <x:pageMargins left="0.7" right="0.7" top="0.75" bottom="0.75" header="0.3" footer="0.3"/>
  <x:tableParts count="1">
    <x:tablePart xmlns:r="http://schemas.openxmlformats.org/officeDocument/2006/relationships" r:id="R324eb4a76a8347d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4" customHeight="1">
      <x:c r="A1" s="5" t="str">
        <x:v>2026년 매출 그래프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1" t="str">
        <x:v>원본: sales_2026.csv · 48행 전체 · 단위: 원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24" customHeight="1">
      <x:c r="A4" s="4" t="str">
        <x:v>월</x:v>
      </x:c>
      <x:c r="B4" s="4" t="str">
        <x:v>매출(원)</x:v>
      </x:c>
      <x:c r="C4" s="1"/>
      <x:c r="D4" s="1"/>
      <x:c r="E4" s="1"/>
      <x:c r="F4" s="1"/>
      <x:c r="G4" s="1"/>
      <x:c r="H4" s="1"/>
      <x:c r="I4" s="1"/>
      <x:c r="J4" s="1"/>
    </x:row>
    <x:row r="5" ht="24" customHeight="1">
      <x:c r="A5" s="1" t="str">
        <x:f>'요약'!A5</x:f>
        <x:v>2026-01</x:v>
      </x:c>
      <x:c r="B5" s="2" t="n">
        <x:f>'요약'!B5</x:f>
        <x:v>59000</x:v>
      </x:c>
      <x:c r="C5" s="1"/>
      <x:c r="D5" s="1"/>
      <x:c r="E5" s="1"/>
      <x:c r="F5" s="1"/>
      <x:c r="G5" s="1"/>
      <x:c r="H5" s="1"/>
      <x:c r="I5" s="1"/>
      <x:c r="J5" s="1"/>
    </x:row>
    <x:row r="6" ht="24" customHeight="1">
      <x:c r="A6" s="1" t="str">
        <x:f>'요약'!A6</x:f>
        <x:v>2026-02</x:v>
      </x:c>
      <x:c r="B6" s="2" t="n">
        <x:f>'요약'!B6</x:f>
        <x:v>63000</x:v>
      </x:c>
      <x:c r="C6" s="1"/>
      <x:c r="D6" s="1"/>
      <x:c r="E6" s="1"/>
      <x:c r="F6" s="1"/>
      <x:c r="G6" s="1"/>
      <x:c r="H6" s="1"/>
      <x:c r="I6" s="1"/>
      <x:c r="J6" s="1"/>
    </x:row>
    <x:row r="7" ht="24" customHeight="1">
      <x:c r="A7" s="1" t="str">
        <x:f>'요약'!A7</x:f>
        <x:v>2026-03</x:v>
      </x:c>
      <x:c r="B7" s="2" t="n">
        <x:f>'요약'!B7</x:f>
        <x:v>67000</x:v>
      </x:c>
      <x:c r="C7" s="1"/>
      <x:c r="D7" s="1"/>
      <x:c r="E7" s="1"/>
      <x:c r="F7" s="1"/>
      <x:c r="G7" s="1"/>
      <x:c r="H7" s="1"/>
      <x:c r="I7" s="1"/>
      <x:c r="J7" s="1"/>
    </x:row>
    <x:row r="8" ht="24" customHeight="1">
      <x:c r="A8" s="1" t="str">
        <x:f>'요약'!A8</x:f>
        <x:v>2026-04</x:v>
      </x:c>
      <x:c r="B8" s="2" t="n">
        <x:f>'요약'!B8</x:f>
        <x:v>71000</x:v>
      </x:c>
      <x:c r="C8" s="1"/>
      <x:c r="D8" s="1"/>
      <x:c r="E8" s="1"/>
      <x:c r="F8" s="1"/>
      <x:c r="G8" s="1"/>
      <x:c r="H8" s="1"/>
      <x:c r="I8" s="1"/>
      <x:c r="J8" s="1"/>
    </x:row>
    <x:row r="9" ht="24" customHeight="1">
      <x:c r="A9" s="1" t="str">
        <x:f>'요약'!A9</x:f>
        <x:v>2026-05</x:v>
      </x:c>
      <x:c r="B9" s="2" t="n">
        <x:f>'요약'!B9</x:f>
        <x:v>75000</x:v>
      </x:c>
      <x:c r="C9" s="1"/>
      <x:c r="D9" s="1"/>
      <x:c r="E9" s="1"/>
      <x:c r="F9" s="1"/>
      <x:c r="G9" s="1"/>
      <x:c r="H9" s="1"/>
      <x:c r="I9" s="1"/>
      <x:c r="J9" s="1"/>
    </x:row>
    <x:row r="10" ht="24" customHeight="1">
      <x:c r="A10" s="1" t="str">
        <x:f>'요약'!A10</x:f>
        <x:v>2026-06</x:v>
      </x:c>
      <x:c r="B10" s="2" t="n">
        <x:f>'요약'!B10</x:f>
        <x:v>79000</x:v>
      </x:c>
      <x:c r="C10" s="1"/>
      <x:c r="D10" s="1"/>
      <x:c r="E10" s="1"/>
      <x:c r="F10" s="1"/>
      <x:c r="G10" s="1"/>
      <x:c r="H10" s="1"/>
      <x:c r="I10" s="1"/>
      <x:c r="J10" s="1"/>
    </x:row>
    <x:row r="11" ht="24" customHeight="1">
      <x:c r="A11" s="1" t="str">
        <x:f>'요약'!A11</x:f>
        <x:v>2026-07</x:v>
      </x:c>
      <x:c r="B11" s="2" t="n">
        <x:f>'요약'!B11</x:f>
        <x:v>83000</x:v>
      </x:c>
      <x:c r="C11" s="1"/>
      <x:c r="D11" s="1"/>
      <x:c r="E11" s="1"/>
      <x:c r="F11" s="1"/>
      <x:c r="G11" s="1"/>
      <x:c r="H11" s="1"/>
      <x:c r="I11" s="1"/>
      <x:c r="J11" s="1"/>
    </x:row>
    <x:row r="12" ht="24" customHeight="1">
      <x:c r="A12" s="1" t="str">
        <x:f>'요약'!A12</x:f>
        <x:v>2026-08</x:v>
      </x:c>
      <x:c r="B12" s="2" t="n">
        <x:f>'요약'!B12</x:f>
        <x:v>87000</x:v>
      </x:c>
      <x:c r="C12" s="1"/>
      <x:c r="D12" s="1"/>
      <x:c r="E12" s="1"/>
      <x:c r="F12" s="1"/>
      <x:c r="G12" s="1"/>
      <x:c r="H12" s="1"/>
      <x:c r="I12" s="1"/>
      <x:c r="J12" s="1"/>
    </x:row>
    <x:row r="13" ht="24" customHeight="1">
      <x:c r="A13" s="1" t="str">
        <x:f>'요약'!A13</x:f>
        <x:v>2026-09</x:v>
      </x:c>
      <x:c r="B13" s="2" t="n">
        <x:f>'요약'!B13</x:f>
        <x:v>91000</x:v>
      </x:c>
      <x:c r="C13" s="1"/>
      <x:c r="D13" s="1"/>
      <x:c r="E13" s="1"/>
      <x:c r="F13" s="1"/>
      <x:c r="G13" s="1"/>
      <x:c r="H13" s="1"/>
      <x:c r="I13" s="1"/>
      <x:c r="J13" s="1"/>
    </x:row>
    <x:row r="14" ht="24" customHeight="1">
      <x:c r="A14" s="1" t="str">
        <x:f>'요약'!A14</x:f>
        <x:v>2026-10</x:v>
      </x:c>
      <x:c r="B14" s="2" t="n">
        <x:f>'요약'!B14</x:f>
        <x:v>95000</x:v>
      </x:c>
      <x:c r="C14" s="1"/>
      <x:c r="D14" s="1"/>
      <x:c r="E14" s="1"/>
      <x:c r="F14" s="1"/>
      <x:c r="G14" s="1"/>
      <x:c r="H14" s="1"/>
      <x:c r="I14" s="1"/>
      <x:c r="J14" s="1"/>
    </x:row>
    <x:row r="15" ht="24" customHeight="1">
      <x:c r="A15" s="1" t="str">
        <x:f>'요약'!A15</x:f>
        <x:v>2026-11</x:v>
      </x:c>
      <x:c r="B15" s="2" t="n">
        <x:f>'요약'!B15</x:f>
        <x:v>99000</x:v>
      </x:c>
      <x:c r="C15" s="1"/>
      <x:c r="D15" s="1"/>
      <x:c r="E15" s="1"/>
      <x:c r="F15" s="1"/>
      <x:c r="G15" s="1"/>
      <x:c r="H15" s="1"/>
      <x:c r="I15" s="1"/>
      <x:c r="J15" s="1"/>
    </x:row>
    <x:row r="16" ht="24" customHeight="1">
      <x:c r="A16" s="1" t="str">
        <x:f>'요약'!A16</x:f>
        <x:v>2026-12</x:v>
      </x:c>
      <x:c r="B16" s="2" t="n">
        <x:f>'요약'!B16</x:f>
        <x:v>103000</x:v>
      </x:c>
      <x:c r="C16" s="1"/>
      <x:c r="D16" s="1"/>
      <x:c r="E16" s="1"/>
      <x:c r="F16" s="1"/>
      <x:c r="G16" s="1"/>
      <x:c r="H16" s="1"/>
      <x:c r="I16" s="1"/>
      <x:c r="J16" s="1"/>
    </x:row>
    <x:row r="17" ht="24" customHeight="1">
      <x:c r="A17" s="1"/>
      <x:c r="B17" s="2"/>
      <x:c r="C17" s="1"/>
      <x:c r="D17" s="1"/>
      <x:c r="E17" s="1"/>
      <x:c r="F17" s="1"/>
      <x:c r="G17" s="1"/>
      <x:c r="H17" s="1"/>
      <x:c r="I17" s="1"/>
      <x:c r="J17" s="1"/>
    </x:row>
    <x:row r="18" ht="24" customHeight="1">
      <x:c r="A18" s="1"/>
      <x:c r="B18" s="2"/>
      <x:c r="C18" s="1"/>
      <x:c r="D18" s="1"/>
      <x:c r="E18" s="1"/>
      <x:c r="F18" s="1"/>
      <x:c r="G18" s="1"/>
      <x:c r="H18" s="1"/>
      <x:c r="I18" s="1"/>
      <x:c r="J18" s="1"/>
    </x:row>
    <x:row r="19" ht="24" customHeight="1">
      <x:c r="A19" s="1"/>
      <x:c r="B19" s="2"/>
      <x:c r="C19" s="1"/>
      <x:c r="D19" s="1"/>
      <x:c r="E19" s="1"/>
      <x:c r="F19" s="1"/>
      <x:c r="G19" s="1"/>
      <x:c r="H19" s="1"/>
      <x:c r="I19" s="1"/>
      <x:c r="J19" s="1"/>
    </x:row>
    <x:row r="20" ht="24" customHeight="1">
      <x:c r="A20" s="1"/>
      <x:c r="B20" s="2"/>
      <x:c r="C20" s="1"/>
      <x:c r="D20" s="1"/>
      <x:c r="E20" s="1"/>
      <x:c r="F20" s="1"/>
      <x:c r="G20" s="1"/>
      <x:c r="H20" s="1"/>
      <x:c r="I20" s="1"/>
      <x:c r="J20" s="1"/>
    </x:row>
    <x:row r="21" ht="24" customHeight="1">
      <x:c r="A21" s="4" t="str">
        <x:v>카테고리</x:v>
      </x:c>
      <x:c r="B21" s="9" t="str">
        <x:v>매출(원)</x:v>
      </x:c>
      <x:c r="C21" s="1"/>
      <x:c r="D21" s="1"/>
      <x:c r="E21" s="1"/>
      <x:c r="F21" s="1"/>
      <x:c r="G21" s="1"/>
      <x:c r="H21" s="1"/>
      <x:c r="I21" s="1"/>
      <x:c r="J21" s="1"/>
    </x:row>
    <x:row r="22" ht="24" customHeight="1">
      <x:c r="A22" s="1" t="str">
        <x:f>'요약'!D5</x:f>
        <x:v>도서</x:v>
      </x:c>
      <x:c r="B22" s="2" t="n">
        <x:f>'요약'!E5</x:f>
        <x:v>486000</x:v>
      </x:c>
      <x:c r="C22" s="1"/>
      <x:c r="D22" s="1"/>
      <x:c r="E22" s="1"/>
      <x:c r="F22" s="1"/>
      <x:c r="G22" s="1"/>
      <x:c r="H22" s="1"/>
      <x:c r="I22" s="1"/>
      <x:c r="J22" s="1"/>
    </x:row>
    <x:row r="23" ht="24" customHeight="1">
      <x:c r="A23" s="1" t="str">
        <x:f>'요약'!D6</x:f>
        <x:v>문구</x:v>
      </x:c>
      <x:c r="B23" s="2" t="n">
        <x:f>'요약'!E6</x:f>
        <x:v>228000</x:v>
      </x:c>
      <x:c r="C23" s="1"/>
      <x:c r="D23" s="1"/>
      <x:c r="E23" s="1"/>
      <x:c r="F23" s="1"/>
      <x:c r="G23" s="1"/>
      <x:c r="H23" s="1"/>
      <x:c r="I23" s="1"/>
      <x:c r="J23" s="1"/>
    </x:row>
    <x:row r="24" ht="24" customHeight="1">
      <x:c r="A24" s="1" t="str">
        <x:f>'요약'!D7</x:f>
        <x:v>음료</x:v>
      </x:c>
      <x:c r="B24" s="2" t="n">
        <x:f>'요약'!E7</x:f>
        <x:v>258000</x:v>
      </x:c>
      <x:c r="C24" s="1"/>
      <x:c r="D24" s="1"/>
      <x:c r="E24" s="1"/>
      <x:c r="F24" s="1"/>
      <x:c r="G24" s="1"/>
      <x:c r="H24" s="1"/>
      <x:c r="I24" s="1"/>
      <x:c r="J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r="46" ht="24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 ht="24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</x:row>
    <x:row r="48" ht="24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 ht="24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 ht="24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  <x:row r="51" ht="24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</x:row>
    <x:row r="52" ht="24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</x:row>
    <x:row r="53" ht="24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 ht="24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 ht="24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</x:sheetData>
  <x:pageMargins left="0.7" right="0.7" top="0.75" bottom="0.75" header="0.3" footer="0.3"/>
  <x:drawing xmlns:r="http://schemas.openxmlformats.org/officeDocument/2006/relationships" r:id="Rddae48ce15564ed7"/>
</x:worksheet>
</file>