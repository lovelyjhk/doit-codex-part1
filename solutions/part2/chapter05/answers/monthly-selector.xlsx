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b121678e0bb06e2/Documents/doit_codex/outputs/ch05_practice_20260906/answers/"/>
    </mc:Choice>
  </mc:AlternateContent>
  <xr:revisionPtr revIDLastSave="27" documentId="11_745DF9CAB9D181AF16F398D6F3C042AE923E2C68" xr6:coauthVersionLast="47" xr6:coauthVersionMax="47" xr10:uidLastSave="{D0974986-2D73-42C1-9629-D4F7CB2A26A0}"/>
  <bookViews>
    <workbookView xWindow="2730" yWindow="2730" windowWidth="28800" windowHeight="11295" xr2:uid="{00000000-000D-0000-FFFF-FFFF00000000}"/>
  </bookViews>
  <sheets>
    <sheet name="요약" sheetId="1" r:id="rId1"/>
    <sheet name="데이터" sheetId="2" r:id="rId2"/>
  </sheets>
  <definedNames>
    <definedName name="ReportMonths">데이터!$G$2:$G$3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E3" i="1"/>
  <c r="G6" i="2" s="1"/>
  <c r="C11" i="1" l="1"/>
  <c r="B9" i="1"/>
  <c r="B10" i="1"/>
  <c r="B8" i="1"/>
  <c r="F11" i="1" l="1"/>
  <c r="D9" i="1"/>
  <c r="F9" i="1" s="1"/>
  <c r="E9" i="1"/>
  <c r="B11" i="1"/>
  <c r="D10" i="1"/>
  <c r="E10" i="1" s="1"/>
  <c r="F10" i="1"/>
  <c r="D11" i="1" l="1"/>
  <c r="E11" i="1" s="1"/>
</calcChain>
</file>

<file path=xl/sharedStrings.xml><?xml version="1.0" encoding="utf-8"?>
<sst xmlns="http://schemas.openxmlformats.org/spreadsheetml/2006/main" count="39" uniqueCount="28">
  <si>
    <t>월을 선택하는 매출 보고서</t>
  </si>
  <si>
    <t>학습용 가상 자료 · 금액 단위: 원 · 수량 단위: 개</t>
  </si>
  <si>
    <t>보고월</t>
  </si>
  <si>
    <t>2026-07</t>
  </si>
  <si>
    <t>비교월</t>
  </si>
  <si>
    <t>B3의 목록에서 월을 고르면 아래 표와 차트가 함께 바뀝니다.</t>
  </si>
  <si>
    <t>2026-05는 전월 자료가 없어 선택 목록에서 제외했습니다.</t>
  </si>
  <si>
    <t>상품</t>
  </si>
  <si>
    <t>증감액</t>
  </si>
  <si>
    <t>증감률</t>
  </si>
  <si>
    <t>확인 상태</t>
  </si>
  <si>
    <t>A</t>
  </si>
  <si>
    <t>B</t>
  </si>
  <si>
    <t>전체</t>
  </si>
  <si>
    <t>집계: 월·상품별 revenue_krw 합계. 증감률 = (선택월−전월)÷전월.</t>
  </si>
  <si>
    <t>원본: sales_sample.csv · 새 CSV를 받으면 보고서를 다시 생성하고 확인하세요.</t>
  </si>
  <si>
    <t>원본 CSV와 자동으로 동기화되지 않습니다. 새 데이터의 월·상품 범위도 다시 확인합니다.</t>
  </si>
  <si>
    <t>month</t>
  </si>
  <si>
    <t>product</t>
  </si>
  <si>
    <t>units</t>
  </si>
  <si>
    <t>revenue_krw</t>
  </si>
  <si>
    <t>2026-05</t>
  </si>
  <si>
    <t>2026-06</t>
  </si>
  <si>
    <t>학습용 가상 자료 · 원본: sales_sample.csv</t>
  </si>
  <si>
    <t>한 행 = 상품 하나의 월별 판매 결과. revenue_krw는 원 단위 매출액.</t>
  </si>
  <si>
    <t>2026-07</t>
    <phoneticPr fontId="8" type="noConversion"/>
  </si>
  <si>
    <t>선택할 수 있는 보고월</t>
  </si>
  <si>
    <t>차트 제목(자동 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</si>
</sst>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[Red]\-#,##0;0"/>
    <numFmt numFmtId="177" formatCode="\+#,##0;[Red]\-#,##0;0"/>
    <numFmt numFmtId="178" formatCode="\+0.0%;[Red]\-0.0%;0.0%"/>
  </numFmts>
  <fonts count="10">
    <font>
      <sz val="11"/>
      <name val="Carlito"/>
    </font>
    <font>
      <sz val="11"/>
      <color rgb="FF222F40"/>
      <name val="Malgun Gothic"/>
      <family val="3"/>
      <charset val="129"/>
    </font>
    <font>
      <b/>
      <sz val="17"/>
      <color rgb="FF183D62"/>
      <name val="Malgun Gothic"/>
      <family val="3"/>
      <charset val="129"/>
    </font>
    <font>
      <sz val="10"/>
      <color rgb="FF526475"/>
      <name val="Malgun Gothic"/>
      <family val="3"/>
      <charset val="129"/>
    </font>
    <font>
      <b/>
      <sz val="12"/>
      <color rgb="FF174F87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83D62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0B3"/>
      </patternFill>
    </fill>
    <fill>
      <patternFill patternType="solid">
        <fgColor rgb="FF234968"/>
      </patternFill>
    </fill>
    <fill>
      <patternFill patternType="solid">
        <fgColor rgb="FFEAF1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178" fontId="1" fillId="0" borderId="0" xfId="1" applyNumberFormat="1" applyFont="1" applyAlignment="1">
      <alignment vertical="center"/>
    </xf>
    <xf numFmtId="0" fontId="6" fillId="4" borderId="0" xfId="1" applyFont="1" applyFill="1" applyAlignment="1">
      <alignment vertical="center"/>
    </xf>
    <xf numFmtId="176" fontId="6" fillId="4" borderId="0" xfId="1" applyNumberFormat="1" applyFont="1" applyFill="1" applyAlignment="1">
      <alignment vertical="center"/>
    </xf>
    <xf numFmtId="177" fontId="6" fillId="4" borderId="0" xfId="1" applyNumberFormat="1" applyFont="1" applyFill="1" applyAlignment="1">
      <alignment vertical="center"/>
    </xf>
    <xf numFmtId="178" fontId="6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0" fontId="6" fillId="4" borderId="0" xfId="1" applyFont="1" applyFill="1" applyAlignment="1">
      <alignment vertical="center" wrapText="1"/>
    </xf>
    <xf numFmtId="0" fontId="3" fillId="0" borderId="0" xfId="1" applyFont="1"/>
    <xf numFmtId="0" fontId="9" fillId="0" borderId="0" xfId="0" applyFont="1"/>
    <xf numFmtId="49" fontId="9" fillId="0" borderId="0" xfId="0" applyNumberFormat="1" applyFont="1"/>
    <xf numFmtId="49" fontId="4" fillId="2" borderId="0" xfId="1" applyNumberFormat="1" applyFont="1" applyFill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1">
    <dxf>
      <font>
        <b/>
        <color rgb="FFAE3028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strRef>
          <c:f>데이터!$G$6</c:f>
          <c:strCache>
            <c:ptCount val="1"/>
            <c:pt idx="0">
              <c:v>2026-06 · 2026-07 상품별 매출 비교</c:v>
            </c:pt>
          </c:strCache>
        </c:strRef>
      </c:tx>
      <c:overlay val="0"/>
      <c:txPr>
        <a:bodyPr/>
        <a:lstStyle/>
        <a:p>
          <a:pPr>
            <a:defRPr altLang="ko-KR" sz="1200">
              <a:latin typeface="맑은 고딕"/>
              <a:ea typeface="맑은 고딕"/>
              <a:cs typeface="맑은 고딕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요약!$B$8</c:f>
              <c:strCache>
                <c:ptCount val="1"/>
                <c:pt idx="0">
                  <c:v>2026-06 매출</c:v>
                </c:pt>
              </c:strCache>
            </c:strRef>
          </c:tx>
          <c:spPr>
            <a:solidFill>
              <a:srgbClr val="94A9BA"/>
            </a:solidFill>
          </c:spPr>
          <c:invertIfNegative val="1"/>
          <c:cat>
            <c:strRef>
              <c:f>요약!$A$9:$A$10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요약!$B$9:$B$10</c:f>
              <c:numCache>
                <c:formatCode>#,##0;[Red]\-#,##0;0</c:formatCode>
                <c:ptCount val="2"/>
                <c:pt idx="0">
                  <c:v>4050000</c:v>
                </c:pt>
                <c:pt idx="1">
                  <c:v>3680000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461-4FB2-BCF1-ACD5F89BB7CC}"/>
            </c:ext>
          </c:extLst>
        </c:ser>
        <c:ser>
          <c:idx val="1"/>
          <c:order val="1"/>
          <c:tx>
            <c:strRef>
              <c:f>요약!$C$8</c:f>
              <c:strCache>
                <c:ptCount val="1"/>
                <c:pt idx="0">
                  <c:v>2026-07 매출</c:v>
                </c:pt>
              </c:strCache>
            </c:strRef>
          </c:tx>
          <c:spPr>
            <a:solidFill>
              <a:srgbClr val="2876B8"/>
            </a:solidFill>
          </c:spPr>
          <c:invertIfNegative val="1"/>
          <c:cat>
            <c:strRef>
              <c:f>요약!$A$9:$A$10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요약!$C$9:$C$10</c:f>
              <c:numCache>
                <c:formatCode>#,##0;[Red]\-#,##0;0</c:formatCode>
                <c:ptCount val="2"/>
                <c:pt idx="0">
                  <c:v>3840000</c:v>
                </c:pt>
                <c:pt idx="1">
                  <c:v>4200000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E461-4FB2-BCF1-ACD5F89BB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ko-KR"/>
                  <a:t>상품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2E8EF"/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ko-KR"/>
                  <a:t>매출액</a:t>
                </a:r>
                <a:r>
                  <a:rPr lang="en-US"/>
                  <a:t>(</a:t>
                </a:r>
                <a:r>
                  <a:rPr lang="ko-KR"/>
                  <a:t>원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txPr>
    <a:bodyPr/>
    <a:lstStyle/>
    <a:p>
      <a:pPr>
        <a:defRPr sz="1000">
          <a:latin typeface="맑은 고딕"/>
          <a:ea typeface="맑은 고딕"/>
          <a:cs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D7" totalsRowShown="0">
  <tableColumns count="4">
    <tableColumn id="1" xr3:uid="{00000000-0010-0000-0000-000001000000}" name="month"/>
    <tableColumn id="2" xr3:uid="{00000000-0010-0000-0000-000002000000}" name="product"/>
    <tableColumn id="3" xr3:uid="{00000000-0010-0000-0000-000003000000}" name="units"/>
    <tableColumn id="4" xr3:uid="{00000000-0010-0000-0000-000004000000}" name="revenue_kr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showGridLines="0" tabSelected="1" zoomScale="90" zoomScaleNormal="90" workbookViewId="0"/>
  </sheetViews>
  <sheetFormatPr defaultRowHeight="14.25"/>
  <cols>
    <col min="1" max="1" width="13" customWidth="1"/>
    <col min="2" max="4" width="19" customWidth="1"/>
    <col min="5" max="5" width="15" customWidth="1"/>
    <col min="6" max="6" width="31" customWidth="1"/>
  </cols>
  <sheetData>
    <row r="1" spans="1:6" ht="33.950000000000003" customHeight="1">
      <c r="A1" s="2" t="s">
        <v>0</v>
      </c>
      <c r="B1" s="1"/>
      <c r="C1" s="1"/>
      <c r="D1" s="1"/>
      <c r="E1" s="1"/>
      <c r="F1" s="1"/>
    </row>
    <row r="2" spans="1:6" ht="18" customHeight="1">
      <c r="A2" s="3" t="s">
        <v>1</v>
      </c>
      <c r="B2" s="1"/>
      <c r="C2" s="1"/>
      <c r="D2" s="1"/>
      <c r="E2" s="1"/>
      <c r="F2" s="1"/>
    </row>
    <row r="3" spans="1:6" ht="18" customHeight="1">
      <c r="A3" s="1" t="s">
        <v>2</v>
      </c>
      <c r="B3" s="17" t="s">
        <v>25</v>
      </c>
      <c r="C3" s="1"/>
      <c r="D3" s="1" t="s">
        <v>4</v>
      </c>
      <c r="E3" s="1" t="str">
        <f>TEXT(DATE(LEFT(B3,4),RIGHT(B3,2)-1,1),"yyyy-mm")</f>
        <v>2026-06</v>
      </c>
      <c r="F3" s="1"/>
    </row>
    <row r="4" spans="1:6" ht="18" customHeight="1">
      <c r="A4" s="1"/>
      <c r="B4" s="1"/>
      <c r="C4" s="1"/>
      <c r="D4" s="1"/>
      <c r="E4" s="1"/>
      <c r="F4" s="1"/>
    </row>
    <row r="5" spans="1:6" ht="18" customHeight="1">
      <c r="A5" s="3" t="s">
        <v>5</v>
      </c>
      <c r="B5" s="1"/>
      <c r="C5" s="1"/>
      <c r="D5" s="1"/>
      <c r="E5" s="1"/>
      <c r="F5" s="1"/>
    </row>
    <row r="6" spans="1:6" ht="18" customHeight="1">
      <c r="A6" s="3" t="s">
        <v>6</v>
      </c>
      <c r="B6" s="1"/>
      <c r="C6" s="1"/>
      <c r="D6" s="1"/>
      <c r="E6" s="1"/>
      <c r="F6" s="1"/>
    </row>
    <row r="7" spans="1:6" ht="18" customHeight="1">
      <c r="A7" s="1"/>
      <c r="B7" s="1"/>
      <c r="C7" s="1"/>
      <c r="D7" s="1"/>
      <c r="E7" s="1"/>
      <c r="F7" s="1"/>
    </row>
    <row r="8" spans="1:6" ht="29.1" customHeight="1">
      <c r="A8" s="4" t="s">
        <v>7</v>
      </c>
      <c r="B8" s="4" t="str">
        <f>$E$3&amp;" 매출"</f>
        <v>2026-06 매출</v>
      </c>
      <c r="C8" s="4" t="str">
        <f>$B$3&amp;" 매출"</f>
        <v>2026-07 매출</v>
      </c>
      <c r="D8" s="4" t="s">
        <v>8</v>
      </c>
      <c r="E8" s="4" t="s">
        <v>9</v>
      </c>
      <c r="F8" s="4" t="s">
        <v>10</v>
      </c>
    </row>
    <row r="9" spans="1:6" ht="33.950000000000003" customHeight="1">
      <c r="A9" s="1" t="s">
        <v>11</v>
      </c>
      <c r="B9" s="5">
        <f>IF(COUNTIFS(데이터!$A$2:$A$7,$E$3,데이터!$B$2:$B$7,$A9)=0,"",SUMIFS(데이터!$D$2:$D$7,데이터!$A$2:$A$7,$E$3,데이터!$B$2:$B$7,$A9))</f>
        <v>4050000</v>
      </c>
      <c r="C9" s="5">
        <f>IF(COUNTIFS(데이터!$A$2:$A$7,$B$3,데이터!$B$2:$B$7,$A9)=0,"",SUMIFS(데이터!$D$2:$D$7,데이터!$A$2:$A$7,$B$3,데이터!$B$2:$B$7,$A9))</f>
        <v>3840000</v>
      </c>
      <c r="D9" s="6">
        <f>IF(COUNT(B9:C9)&lt;2,"",C9-B9)</f>
        <v>-210000</v>
      </c>
      <c r="E9" s="7">
        <f>IF(COUNT(B9:C9)&lt;2,"",IF(B9=0,"",D9/B9))</f>
        <v>-5.185185185185185E-2</v>
      </c>
      <c r="F9" s="12" t="str">
        <f>IF(COUNT(B9:C9)&lt;2,"자료 확인 필요",IF(B9=0,"전월 0원·증감률 계산 제외",IF(D9&lt;0,"감소·배경 확인","증가 또는 동일")))</f>
        <v>감소·배경 확인</v>
      </c>
    </row>
    <row r="10" spans="1:6" ht="33.950000000000003" customHeight="1">
      <c r="A10" s="1" t="s">
        <v>12</v>
      </c>
      <c r="B10" s="5">
        <f>IF(COUNTIFS(데이터!$A$2:$A$7,$E$3,데이터!$B$2:$B$7,$A10)=0,"",SUMIFS(데이터!$D$2:$D$7,데이터!$A$2:$A$7,$E$3,데이터!$B$2:$B$7,$A10))</f>
        <v>3680000</v>
      </c>
      <c r="C10" s="5">
        <f>IF(COUNTIFS(데이터!$A$2:$A$7,$B$3,데이터!$B$2:$B$7,$A10)=0,"",SUMIFS(데이터!$D$2:$D$7,데이터!$A$2:$A$7,$B$3,데이터!$B$2:$B$7,$A10))</f>
        <v>4200000</v>
      </c>
      <c r="D10" s="6">
        <f>IF(COUNT(B10:C10)&lt;2,"",C10-B10)</f>
        <v>520000</v>
      </c>
      <c r="E10" s="7">
        <f>IF(COUNT(B10:C10)&lt;2,"",IF(B10=0,"",D10/B10))</f>
        <v>0.14130434782608695</v>
      </c>
      <c r="F10" s="12" t="str">
        <f>IF(COUNT(B10:C10)&lt;2,"자료 확인 필요",IF(B10=0,"전월 0원·증감률 계산 제외",IF(D10&lt;0,"감소·배경 확인","증가 또는 동일")))</f>
        <v>증가 또는 동일</v>
      </c>
    </row>
    <row r="11" spans="1:6" ht="33.950000000000003" customHeight="1">
      <c r="A11" s="8" t="s">
        <v>13</v>
      </c>
      <c r="B11" s="9">
        <f>IF(COUNT(B9:B10)&lt;2,"",SUM(B9:B10))</f>
        <v>7730000</v>
      </c>
      <c r="C11" s="9">
        <f>IF(COUNT(C9:C10)&lt;2,"",SUM(C9:C10))</f>
        <v>8040000</v>
      </c>
      <c r="D11" s="10">
        <f>IF(COUNT(B11:C11)&lt;2,"",C11-B11)</f>
        <v>310000</v>
      </c>
      <c r="E11" s="11">
        <f>IF(COUNT(B11:C11)&lt;2,"",IF(B11=0,"",D11/B11))</f>
        <v>4.0103492884864166E-2</v>
      </c>
      <c r="F11" s="13" t="str">
        <f>IF(COUNT(B9:C10)&lt;4,"일부 상품 자료 없음","상품별 증감 합계 대조")</f>
        <v>상품별 증감 합계 대조</v>
      </c>
    </row>
    <row r="12" spans="1:6" ht="18" customHeight="1">
      <c r="A12" s="1"/>
      <c r="B12" s="1"/>
      <c r="C12" s="1"/>
      <c r="D12" s="1"/>
      <c r="E12" s="1"/>
      <c r="F12" s="1"/>
    </row>
    <row r="13" spans="1:6" ht="18" customHeight="1">
      <c r="A13" s="3" t="s">
        <v>14</v>
      </c>
      <c r="B13" s="1"/>
      <c r="C13" s="1"/>
      <c r="D13" s="1"/>
      <c r="E13" s="1"/>
      <c r="F13" s="1"/>
    </row>
    <row r="14" spans="1:6" ht="18" customHeight="1">
      <c r="A14" s="3"/>
      <c r="B14" s="1"/>
      <c r="C14" s="1"/>
      <c r="D14" s="1"/>
      <c r="E14" s="1"/>
      <c r="F14" s="1"/>
    </row>
    <row r="15" spans="1:6" ht="18" customHeight="1">
      <c r="A15" s="1"/>
      <c r="B15" s="1"/>
      <c r="C15" s="1"/>
      <c r="D15" s="1"/>
      <c r="E15" s="1"/>
      <c r="F15" s="1"/>
    </row>
    <row r="16" spans="1:6" ht="18" customHeight="1">
      <c r="A16" s="1"/>
      <c r="B16" s="1"/>
      <c r="C16" s="1"/>
      <c r="D16" s="1"/>
      <c r="E16" s="1"/>
      <c r="F16" s="1"/>
    </row>
    <row r="17" spans="1:6" ht="18" customHeight="1">
      <c r="A17" s="1"/>
      <c r="B17" s="1"/>
      <c r="C17" s="1"/>
      <c r="D17" s="1"/>
      <c r="E17" s="1"/>
      <c r="F17" s="1"/>
    </row>
    <row r="18" spans="1:6" ht="18" customHeight="1">
      <c r="A18" s="1"/>
      <c r="B18" s="1"/>
      <c r="C18" s="1"/>
      <c r="D18" s="1"/>
      <c r="E18" s="1"/>
      <c r="F18" s="1"/>
    </row>
    <row r="19" spans="1:6" ht="18" customHeight="1">
      <c r="A19" s="1"/>
      <c r="B19" s="1"/>
      <c r="C19" s="1"/>
      <c r="D19" s="1"/>
      <c r="E19" s="1"/>
      <c r="F19" s="1"/>
    </row>
    <row r="20" spans="1:6" ht="18" customHeight="1">
      <c r="A20" s="1"/>
      <c r="B20" s="1"/>
      <c r="C20" s="1"/>
      <c r="D20" s="1"/>
      <c r="E20" s="1"/>
      <c r="F20" s="1"/>
    </row>
    <row r="21" spans="1:6" ht="18" customHeight="1">
      <c r="A21" s="1"/>
      <c r="B21" s="1"/>
      <c r="C21" s="1"/>
      <c r="D21" s="1"/>
      <c r="E21" s="1"/>
      <c r="F21" s="1"/>
    </row>
    <row r="22" spans="1:6" ht="18" customHeight="1">
      <c r="A22" s="1"/>
      <c r="B22" s="1"/>
      <c r="C22" s="1"/>
      <c r="D22" s="1"/>
      <c r="E22" s="1"/>
      <c r="F22" s="1"/>
    </row>
    <row r="23" spans="1:6" ht="18" customHeight="1">
      <c r="A23" s="1"/>
      <c r="B23" s="1"/>
      <c r="C23" s="1"/>
      <c r="D23" s="1"/>
      <c r="E23" s="1"/>
      <c r="F23" s="1"/>
    </row>
    <row r="24" spans="1:6" ht="18" customHeight="1">
      <c r="A24" s="1"/>
      <c r="B24" s="1"/>
      <c r="C24" s="1"/>
      <c r="D24" s="1"/>
      <c r="E24" s="1"/>
      <c r="F24" s="1"/>
    </row>
    <row r="25" spans="1:6" ht="18" customHeight="1">
      <c r="A25" s="1"/>
      <c r="B25" s="1"/>
      <c r="C25" s="1"/>
      <c r="D25" s="1"/>
      <c r="E25" s="1"/>
      <c r="F25" s="1"/>
    </row>
    <row r="26" spans="1:6" ht="18" customHeight="1">
      <c r="A26" s="1"/>
      <c r="B26" s="1"/>
      <c r="C26" s="1"/>
      <c r="D26" s="1"/>
      <c r="E26" s="1"/>
      <c r="F26" s="1"/>
    </row>
    <row r="27" spans="1:6" ht="18" customHeight="1">
      <c r="A27" s="1"/>
      <c r="B27" s="1"/>
      <c r="C27" s="1"/>
      <c r="D27" s="1"/>
      <c r="E27" s="1"/>
      <c r="F27" s="1"/>
    </row>
    <row r="28" spans="1:6" ht="18" customHeight="1">
      <c r="A28" s="1"/>
      <c r="B28" s="1"/>
      <c r="C28" s="1"/>
      <c r="D28" s="1"/>
      <c r="E28" s="1"/>
      <c r="F28" s="1"/>
    </row>
    <row r="29" spans="1:6" ht="18" customHeight="1">
      <c r="A29" s="1"/>
      <c r="B29" s="1"/>
      <c r="C29" s="1"/>
      <c r="D29" s="1"/>
      <c r="E29" s="1"/>
      <c r="F29" s="1"/>
    </row>
    <row r="30" spans="1:6" ht="18" customHeight="1">
      <c r="A30" s="1"/>
      <c r="B30" s="1"/>
      <c r="C30" s="1"/>
      <c r="D30" s="1"/>
      <c r="E30" s="1"/>
      <c r="F30" s="1"/>
    </row>
    <row r="31" spans="1:6" ht="18" customHeight="1">
      <c r="A31" s="1"/>
      <c r="B31" s="1"/>
      <c r="C31" s="1"/>
      <c r="D31" s="1"/>
      <c r="E31" s="1"/>
      <c r="F31" s="1"/>
    </row>
    <row r="32" spans="1:6" ht="18" customHeight="1">
      <c r="A32" s="1"/>
      <c r="B32" s="1"/>
      <c r="C32" s="1"/>
      <c r="D32" s="1"/>
      <c r="E32" s="1"/>
      <c r="F32" s="1"/>
    </row>
    <row r="33" spans="1:6" ht="18" customHeight="1">
      <c r="A33" s="1"/>
      <c r="B33" s="1"/>
      <c r="C33" s="1"/>
      <c r="D33" s="1"/>
      <c r="E33" s="1"/>
      <c r="F33" s="1"/>
    </row>
    <row r="34" spans="1:6" ht="18" customHeight="1">
      <c r="A34" s="3" t="s">
        <v>15</v>
      </c>
      <c r="B34" s="1"/>
      <c r="C34" s="1"/>
      <c r="D34" s="1"/>
      <c r="E34" s="1"/>
      <c r="F34" s="1"/>
    </row>
    <row r="35" spans="1:6" ht="18" customHeight="1">
      <c r="A35" s="3" t="s">
        <v>16</v>
      </c>
      <c r="B35" s="1"/>
      <c r="C35" s="1"/>
      <c r="D35" s="1"/>
      <c r="E35" s="1"/>
      <c r="F35" s="1"/>
    </row>
    <row r="36" spans="1:6" ht="18" customHeight="1">
      <c r="A36" s="1"/>
      <c r="B36" s="1"/>
      <c r="C36" s="1"/>
      <c r="D36" s="1"/>
      <c r="E36" s="1"/>
      <c r="F36" s="1"/>
    </row>
  </sheetData>
  <phoneticPr fontId="8" type="noConversion"/>
  <conditionalFormatting sqref="D9:E10">
    <cfRule type="cellIs" dxfId="0" priority="1" operator="lessThan">
      <formula>0</formula>
    </cfRule>
  </conditionalFormatting>
  <dataValidations count="1">
    <dataValidation type="list" allowBlank="1" showInputMessage="1" showErrorMessage="1" errorTitle="보고월 확인" error="목록에서 2026-06 또는 2026-07을 선택하세요." sqref="B3" xr:uid="{1995CB85-D203-4163-BAE0-A115B4F0D579}">
      <formula1>ReportMonths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4.25"/>
  <cols>
    <col min="1" max="1" width="16" customWidth="1"/>
    <col min="2" max="2" width="14" customWidth="1"/>
    <col min="3" max="4" width="19" customWidth="1"/>
    <col min="7" max="7" width="51.625" customWidth="1"/>
  </cols>
  <sheetData>
    <row r="1" spans="1:7" ht="29.1" customHeight="1">
      <c r="A1" s="4" t="s">
        <v>17</v>
      </c>
      <c r="B1" s="4" t="s">
        <v>18</v>
      </c>
      <c r="C1" s="4" t="s">
        <v>19</v>
      </c>
      <c r="D1" s="4" t="s">
        <v>20</v>
      </c>
      <c r="G1" s="15" t="s">
        <v>26</v>
      </c>
    </row>
    <row r="2" spans="1:7" ht="18" customHeight="1">
      <c r="A2" s="1" t="s">
        <v>21</v>
      </c>
      <c r="B2" s="1" t="s">
        <v>11</v>
      </c>
      <c r="C2" s="5">
        <v>120</v>
      </c>
      <c r="D2" s="5">
        <v>3600000</v>
      </c>
      <c r="G2" s="16" t="s">
        <v>22</v>
      </c>
    </row>
    <row r="3" spans="1:7" ht="18" customHeight="1">
      <c r="A3" s="1" t="s">
        <v>22</v>
      </c>
      <c r="B3" s="1" t="s">
        <v>11</v>
      </c>
      <c r="C3" s="5">
        <v>135</v>
      </c>
      <c r="D3" s="5">
        <v>4050000</v>
      </c>
      <c r="G3" s="16" t="s">
        <v>3</v>
      </c>
    </row>
    <row r="4" spans="1:7" ht="18" customHeight="1">
      <c r="A4" s="1" t="s">
        <v>3</v>
      </c>
      <c r="B4" s="1" t="s">
        <v>11</v>
      </c>
      <c r="C4" s="5">
        <v>128</v>
      </c>
      <c r="D4" s="5">
        <v>3840000</v>
      </c>
      <c r="G4" s="15"/>
    </row>
    <row r="5" spans="1:7" ht="18" customHeight="1">
      <c r="A5" s="1" t="s">
        <v>21</v>
      </c>
      <c r="B5" s="1" t="s">
        <v>12</v>
      </c>
      <c r="C5" s="5">
        <v>80</v>
      </c>
      <c r="D5" s="5">
        <v>3200000</v>
      </c>
      <c r="G5" s="15" t="s">
        <v>27</v>
      </c>
    </row>
    <row r="6" spans="1:7" ht="18" customHeight="1">
      <c r="A6" s="1" t="s">
        <v>22</v>
      </c>
      <c r="B6" s="1" t="s">
        <v>12</v>
      </c>
      <c r="C6" s="5">
        <v>92</v>
      </c>
      <c r="D6" s="5">
        <v>3680000</v>
      </c>
      <c r="G6" s="15" t="str">
        <f>요약!$E$3&amp;" · "&amp;요약!$B$3&amp;" 상품별 매출 비교"</f>
        <v>2026-06 · 2026-07 상품별 매출 비교</v>
      </c>
    </row>
    <row r="7" spans="1:7" ht="18" customHeight="1">
      <c r="A7" s="1" t="s">
        <v>3</v>
      </c>
      <c r="B7" s="1" t="s">
        <v>12</v>
      </c>
      <c r="C7" s="5">
        <v>105</v>
      </c>
      <c r="D7" s="5">
        <v>4200000</v>
      </c>
    </row>
    <row r="10" spans="1:7" ht="15">
      <c r="A10" s="14" t="s">
        <v>23</v>
      </c>
      <c r="B10" s="14"/>
      <c r="C10" s="14"/>
      <c r="D10" s="14"/>
    </row>
    <row r="11" spans="1:7" ht="15">
      <c r="A11" s="14" t="s">
        <v>24</v>
      </c>
      <c r="B11" s="14"/>
      <c r="C11" s="14"/>
      <c r="D11" s="14"/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요약</vt:lpstr>
      <vt:lpstr>데이터</vt:lpstr>
      <vt:lpstr>ReportMonths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진희 김</cp:lastModifiedBy>
  <dcterms:modified xsi:type="dcterms:W3CDTF">2026-09-06T04:56:38Z</dcterms:modified>
</cp:coreProperties>
</file>