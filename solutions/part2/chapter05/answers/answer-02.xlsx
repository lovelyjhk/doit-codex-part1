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f03f9616d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6e216a742af40ad"/>
    <x:sheet xmlns:r="http://schemas.openxmlformats.org/officeDocument/2006/relationships" name="데이터" sheetId="2" r:id="Rad47b1d10d0d41da"/>
    <x:sheet xmlns:r="http://schemas.openxmlformats.org/officeDocument/2006/relationships" name="차트" sheetId="3" r:id="Rc7ad3323c2cc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+#,##0;-#,##0;0"/>
    <x:numFmt numFmtId="202" formatCode="+0.0%;-0.0%;0.0%"/>
  </x:numFmts>
  <x:fonts count="4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6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8fb5b5a05469d" /><Relationship Type="http://schemas.openxmlformats.org/officeDocument/2006/relationships/theme" Target="/xl/theme/theme1.xml" Id="Rb5baecebb4f84874" /><Relationship Type="http://schemas.openxmlformats.org/officeDocument/2006/relationships/sharedStrings" Target="/xl/sharedStrings.xml" Id="R35547ccfdce64bdf" /><Relationship Type="http://schemas.openxmlformats.org/officeDocument/2006/relationships/worksheet" Target="/xl/worksheets/sheet1.xml" Id="R56e216a742af40ad" /><Relationship Type="http://schemas.openxmlformats.org/officeDocument/2006/relationships/worksheet" Target="/xl/worksheets/sheet2.xml" Id="Rad47b1d10d0d41da" /><Relationship Type="http://schemas.openxmlformats.org/officeDocument/2006/relationships/worksheet" Target="/xl/worksheets/sheet3.xml" Id="Rc7ad3323c2cc4a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051c277ee643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2026년 6·7월 상품별 매출 비교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6월 매출(원)</c:v>
          </c:tx>
          <c:spPr>
            <a:solidFill xmlns:a="http://schemas.openxmlformats.org/drawingml/2006/main">
              <a:srgbClr val="7596C8"/>
            </a:solidFill>
          </c:spPr>
          <c:cat>
            <c:strRef>
              <c:f>'차트'!$A$5:$A$6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'차트'!$B$5:$B$6</c:f>
              <c:numCache>
                <c:formatCode>#,##0</c:formatCode>
                <c:ptCount val="2"/>
                <c:pt idx="0">
                  <c:v>4050000</c:v>
                </c:pt>
                <c:pt idx="1">
                  <c:v>3680000</c:v>
                </c:pt>
              </c:numCache>
            </c:numRef>
          </c:val>
        </c:ser>
        <c:ser>
          <c:idx val="1"/>
          <c:order val="1"/>
          <c:tx>
            <c:v>7월 매출(원)</c:v>
          </c:tx>
          <c:spPr>
            <a:solidFill xmlns:a="http://schemas.openxmlformats.org/drawingml/2006/main">
              <a:srgbClr val="204E85"/>
            </a:solidFill>
          </c:spPr>
          <c:cat>
            <c:strRef>
              <c:f>'차트'!$A$5:$A$6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'차트'!$C$5:$C$6</c:f>
              <c:numCache>
                <c:formatCode>#,##0</c:formatCode>
                <c:ptCount val="2"/>
                <c:pt idx="0">
                  <c:v>3840000</c:v>
                </c:pt>
                <c:pt idx="1">
                  <c:v>4200000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상품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매출액(원)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051c277ee643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ource" displayName="MonthlySource" ref="A1:D7" headerRowCount="1" totalsRowCount="0" totalsRowShown="0">
  <x:tableColumns count="4">
    <x:tableColumn id="1" name="month"/>
    <x:tableColumn id="2" name="product"/>
    <x:tableColumn id="3" name="units"/>
    <x:tableColumn id="4" name="revenue_kr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59119ac7342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0f0db5568f64c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5" t="str">
        <x:v>상품별 6·7월 매출 비교</x:v>
      </x:c>
      <x:c r="B1" s="1"/>
      <x:c r="C1" s="1"/>
      <x:c r="D1" s="1"/>
      <x:c r="E1" s="1"/>
      <x:c r="F1" s="1"/>
      <x:c r="G1" s="1"/>
      <x:c r="H1" s="1"/>
    </x:row>
    <x:row r="2" ht="25" customHeight="1">
      <x:c r="A2" s="1" t="str">
        <x:v>원본: sales_sample.csv · 가상 자료 6행 · 단위: 원</x:v>
      </x:c>
      <x:c r="B2" s="1"/>
      <x:c r="C2" s="1"/>
      <x:c r="D2" s="1"/>
      <x:c r="E2" s="1"/>
      <x:c r="F2" s="1"/>
      <x:c r="G2" s="1"/>
      <x:c r="H2" s="1"/>
    </x:row>
    <x:row r="3" ht="25" customHeight="1">
      <x:c r="A3" s="1"/>
      <x:c r="B3" s="1"/>
      <x:c r="C3" s="1"/>
      <x:c r="D3" s="1"/>
      <x:c r="E3" s="1"/>
      <x:c r="F3" s="1"/>
      <x:c r="G3" s="1"/>
      <x:c r="H3" s="1"/>
    </x:row>
    <x:row r="4" ht="28" customHeight="1">
      <x:c r="A4" s="4" t="str">
        <x:v>상품</x:v>
      </x:c>
      <x:c r="B4" s="4" t="str">
        <x:v>6월 매출(원)</x:v>
      </x:c>
      <x:c r="C4" s="4" t="str">
        <x:v>7월 매출(원)</x:v>
      </x:c>
      <x:c r="D4" s="4" t="str">
        <x:v>증감액(원)</x:v>
      </x:c>
      <x:c r="E4" s="4" t="str">
        <x:v>증감률</x:v>
      </x:c>
      <x:c r="F4" s="1"/>
      <x:c r="G4" s="1"/>
      <x:c r="H4" s="1"/>
    </x:row>
    <x:row r="5" ht="25" customHeight="1">
      <x:c r="A5" s="1" t="str">
        <x:v>A</x:v>
      </x:c>
      <x:c r="B5" s="2" t="n">
        <x:f>SUMIFS('데이터'!$D$2:$D$7,'데이터'!$A$2:$A$7,"2026-06",'데이터'!$B$2:$B$7,A5)</x:f>
        <x:v>4050000</x:v>
      </x:c>
      <x:c r="C5" s="2" t="n">
        <x:f>SUMIFS('데이터'!$D$2:$D$7,'데이터'!$A$2:$A$7,"2026-07",'데이터'!$B$2:$B$7,A5)</x:f>
        <x:v>3840000</x:v>
      </x:c>
      <x:c r="D5" s="6" t="n">
        <x:f>C5-B5</x:f>
        <x:v>-210000</x:v>
      </x:c>
      <x:c r="E5" s="7" t="n">
        <x:f>D5/B5</x:f>
        <x:v>-0.05185185185185185</x:v>
      </x:c>
      <x:c r="F5" s="1"/>
      <x:c r="G5" s="1"/>
      <x:c r="H5" s="1"/>
    </x:row>
    <x:row r="6" ht="25" customHeight="1">
      <x:c r="A6" s="1" t="str">
        <x:v>B</x:v>
      </x:c>
      <x:c r="B6" s="2" t="n">
        <x:f>SUMIFS('데이터'!$D$2:$D$7,'데이터'!$A$2:$A$7,"2026-06",'데이터'!$B$2:$B$7,A6)</x:f>
        <x:v>3680000</x:v>
      </x:c>
      <x:c r="C6" s="2" t="n">
        <x:f>SUMIFS('데이터'!$D$2:$D$7,'데이터'!$A$2:$A$7,"2026-07",'데이터'!$B$2:$B$7,A6)</x:f>
        <x:v>4200000</x:v>
      </x:c>
      <x:c r="D6" s="6" t="n">
        <x:f>C6-B6</x:f>
        <x:v>520000</x:v>
      </x:c>
      <x:c r="E6" s="7" t="n">
        <x:f>D6/B6</x:f>
        <x:v>0.14130434782608695</x:v>
      </x:c>
      <x:c r="F6" s="1"/>
      <x:c r="G6" s="1"/>
      <x:c r="H6" s="1"/>
    </x:row>
    <x:row r="7" ht="25" customHeight="1">
      <x:c r="A7" s="1" t="str">
        <x:v>전체</x:v>
      </x:c>
      <x:c r="B7" s="2" t="n">
        <x:f>SUM(B5:B6)</x:f>
        <x:v>7730000</x:v>
      </x:c>
      <x:c r="C7" s="2" t="n">
        <x:f>SUM(C5:C6)</x:f>
        <x:v>8040000</x:v>
      </x:c>
      <x:c r="D7" s="6" t="n">
        <x:f>C7-B7</x:f>
        <x:v>310000</x:v>
      </x:c>
      <x:c r="E7" s="7" t="n">
        <x:f>D7/B7</x:f>
        <x:v>0.040103492884864166</x:v>
      </x:c>
      <x:c r="F7" s="1"/>
      <x:c r="G7" s="1"/>
      <x:c r="H7" s="1"/>
    </x:row>
    <x:row r="8" ht="25" customHeight="1">
      <x:c r="A8" s="1"/>
      <x:c r="B8" s="1"/>
      <x:c r="C8" s="1"/>
      <x:c r="D8" s="1"/>
      <x:c r="E8" s="1"/>
      <x:c r="F8" s="1"/>
      <x:c r="G8" s="1"/>
      <x:c r="H8" s="1"/>
    </x:row>
    <x:row r="9" ht="25" customHeight="1">
      <x:c r="A9" s="1" t="str">
        <x:v>전체 증감률은 전체 금액으로 계산합니다.</x:v>
      </x:c>
      <x:c r="B9" s="1"/>
      <x:c r="C9" s="1"/>
      <x:c r="D9" s="1"/>
      <x:c r="E9" s="1"/>
      <x:c r="F9" s="1"/>
      <x:c r="G9" s="1"/>
      <x:c r="H9" s="1"/>
    </x:row>
    <x:row r="10" ht="25" customHeight="1">
      <x:c r="A10" s="1" t="str">
        <x:v>상품별 증감액 합계 − 전체 증감액(원)</x:v>
      </x:c>
      <x:c r="B10" s="1"/>
      <x:c r="C10" s="1"/>
      <x:c r="D10" s="2" t="n">
        <x:f>SUM(D5:D6)-D7</x:f>
        <x:v>0</x:v>
      </x:c>
      <x:c r="E10" s="1"/>
      <x:c r="F10" s="1"/>
      <x:c r="G10" s="1"/>
      <x:c r="H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</x:row>
  </x:sheetData>
  <x:conditionalFormatting sqref="D5:E6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8" customHeight="1">
      <x:c r="A1" s="4" t="str">
        <x:v>month</x:v>
      </x:c>
      <x:c r="B1" s="4" t="str">
        <x:v>product</x:v>
      </x:c>
      <x:c r="C1" s="4" t="str">
        <x:v>units</x:v>
      </x:c>
      <x:c r="D1" s="4" t="str">
        <x:v>revenue_krw</x:v>
      </x:c>
    </x:row>
    <x:row r="2" ht="25" customHeight="1">
      <x:c r="A2" s="1" t="str">
        <x:v>2026-05</x:v>
      </x:c>
      <x:c r="B2" s="1" t="str">
        <x:v>A</x:v>
      </x:c>
      <x:c r="C2" s="2" t="n">
        <x:v>120</x:v>
      </x:c>
      <x:c r="D2" s="2" t="n">
        <x:v>3600000</x:v>
      </x:c>
    </x:row>
    <x:row r="3" ht="25" customHeight="1">
      <x:c r="A3" s="1" t="str">
        <x:v>2026-06</x:v>
      </x:c>
      <x:c r="B3" s="1" t="str">
        <x:v>A</x:v>
      </x:c>
      <x:c r="C3" s="2" t="n">
        <x:v>135</x:v>
      </x:c>
      <x:c r="D3" s="2" t="n">
        <x:v>4050000</x:v>
      </x:c>
    </x:row>
    <x:row r="4" ht="25" customHeight="1">
      <x:c r="A4" s="1" t="str">
        <x:v>2026-07</x:v>
      </x:c>
      <x:c r="B4" s="1" t="str">
        <x:v>A</x:v>
      </x:c>
      <x:c r="C4" s="2" t="n">
        <x:v>128</x:v>
      </x:c>
      <x:c r="D4" s="2" t="n">
        <x:v>3840000</x:v>
      </x:c>
    </x:row>
    <x:row r="5" ht="25" customHeight="1">
      <x:c r="A5" s="1" t="str">
        <x:v>2026-05</x:v>
      </x:c>
      <x:c r="B5" s="1" t="str">
        <x:v>B</x:v>
      </x:c>
      <x:c r="C5" s="2" t="n">
        <x:v>80</x:v>
      </x:c>
      <x:c r="D5" s="2" t="n">
        <x:v>3200000</x:v>
      </x:c>
    </x:row>
    <x:row r="6" ht="25" customHeight="1">
      <x:c r="A6" s="1" t="str">
        <x:v>2026-06</x:v>
      </x:c>
      <x:c r="B6" s="1" t="str">
        <x:v>B</x:v>
      </x:c>
      <x:c r="C6" s="2" t="n">
        <x:v>92</x:v>
      </x:c>
      <x:c r="D6" s="2" t="n">
        <x:v>3680000</x:v>
      </x:c>
    </x:row>
    <x:row r="7" ht="25" customHeight="1">
      <x:c r="A7" s="1" t="str">
        <x:v>2026-07</x:v>
      </x:c>
      <x:c r="B7" s="1" t="str">
        <x:v>B</x:v>
      </x:c>
      <x:c r="C7" s="2" t="n">
        <x:v>105</x:v>
      </x:c>
      <x:c r="D7" s="2" t="n">
        <x:v>4200000</x:v>
      </x:c>
    </x:row>
    <x:row r="8" ht="25" customHeight="1">
      <x:c r="A8" s="1"/>
      <x:c r="B8" s="1"/>
      <x:c r="C8" s="1"/>
      <x:c r="D8" s="1"/>
    </x:row>
  </x:sheetData>
  <x:pageMargins left="0.7" right="0.7" top="0.75" bottom="0.75" header="0.3" footer="0.3"/>
  <x:tableParts count="1">
    <x:tablePart xmlns:r="http://schemas.openxmlformats.org/officeDocument/2006/relationships" r:id="Rbec59119ac7342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5" customHeight="1">
      <x:c r="A1" s="5" t="str">
        <x:v>2026년 6·7월 상품별 매출 비교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1" t="str">
        <x:v>원본: sales_sample.csv · 전체 합계 행은 차트에서 제외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8" customHeight="1">
      <x:c r="A4" s="4" t="str">
        <x:f>'요약'!A4</x:f>
        <x:v>상품</x:v>
      </x:c>
      <x:c r="B4" s="4" t="str">
        <x:f>'요약'!B4</x:f>
        <x:v>6월 매출(원)</x:v>
      </x:c>
      <x:c r="C4" s="4" t="str">
        <x:f>'요약'!C4</x:f>
        <x:v>7월 매출(원)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A5" s="1" t="str">
        <x:f>'요약'!A5</x:f>
        <x:v>A</x:v>
      </x:c>
      <x:c r="B5" s="2" t="n">
        <x:f>'요약'!B5</x:f>
        <x:v>4050000</x:v>
      </x:c>
      <x:c r="C5" s="2" t="n">
        <x:f>'요약'!C5</x:f>
        <x:v>3840000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25" customHeight="1">
      <x:c r="A6" s="1" t="str">
        <x:f>'요약'!A6</x:f>
        <x:v>B</x:v>
      </x:c>
      <x:c r="B6" s="2" t="n">
        <x:f>'요약'!B6</x:f>
        <x:v>3680000</x:v>
      </x:c>
      <x:c r="C6" s="2" t="n">
        <x:f>'요약'!C6</x:f>
        <x:v>4200000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2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</x:sheetData>
  <x:pageMargins left="0.7" right="0.7" top="0.75" bottom="0.75" header="0.3" footer="0.3"/>
  <x:drawing xmlns:r="http://schemas.openxmlformats.org/officeDocument/2006/relationships" r:id="R90f0db5568f64c73"/>
</x:worksheet>
</file>